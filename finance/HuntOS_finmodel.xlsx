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lan" sheetId="2" r:id="rId2"/>
    <sheet name="Product" sheetId="3" r:id="rId3"/>
    <sheet name="Inputs" sheetId="4" r:id="rId4"/>
    <sheet name="Bootstrap" sheetId="5" r:id="rId5"/>
    <sheet name="PnL" sheetId="6" r:id="rId6"/>
    <sheet name="CashFlow" sheetId="7" r:id="rId7"/>
    <sheet name="Scenarios" sheetId="8" r:id="rId8"/>
    <sheet name="Charts" sheetId="9" r:id="rId9"/>
    <sheet name="Unit" sheetId="10" r:id="rId10"/>
    <sheet name="Dashboard" sheetId="11" r:id="rId11"/>
    <sheet name="InfraRoadmap" sheetId="12" r:id="rId12"/>
  </sheets>
  <calcPr calcId="124519" fullCalcOnLoad="1"/>
</workbook>
</file>

<file path=xl/sharedStrings.xml><?xml version="1.0" encoding="utf-8"?>
<sst xmlns="http://schemas.openxmlformats.org/spreadsheetml/2006/main" count="426" uniqueCount="393">
  <si>
    <t>HuntOS — СОЛО-БУТСТРАП (0 инвесторов, 0 команды, старт с 0 юзеров)</t>
  </si>
  <si>
    <t>Две кассы + честный runway ~13м. Главный баг старой версии — СКОРОСТЬ набора (10/мес = смерть).</t>
  </si>
  <si>
    <t>Base: цель ~100 signups/мес1 (партизанский GTM). Pes = старый тихий набор (~12/мес).</t>
  </si>
  <si>
    <t>Plus 990 = касса; Lifetime 2990/3м = быстрый cash; Pro 1990 позже. Free AI-taste.</t>
  </si>
  <si>
    <t>Activation в модели 15% (не 40%). CAC Y1≈400 → Y2≈1800; referral −25% с м.6.</t>
  </si>
  <si>
    <t>B2B с WAS≳500 (агрегаты рынка). Offer-radar конкурентам — НЕ в модели (legal: спросить).</t>
  </si>
  <si>
    <t>Лист Plan = GTM + продукт (Career OS). Product / Bootstrap / Unit — цифры.</t>
  </si>
  <si>
    <t>PLAN — выход из долины смерти (CPO/board 2026)</t>
  </si>
  <si>
    <t>Ввод аудита, не закон. Owner-канон: .cursor/rules/huntos-strategy.mdc</t>
  </si>
  <si>
    <t>УГРОЗА</t>
  </si>
  <si>
    <t>Скорость: 7–15 signup/мес → нет A/B, нет статистики, runway сгорает на м.13–14.</t>
  </si>
  <si>
    <t>ПРАВИЛО 1</t>
  </si>
  <si>
    <t>Цель 30 дней: 100 signups (TG/LinkedIn/Habr/друзья), не 15.</t>
  </si>
  <si>
    <t>ПРАВИЛО 2</t>
  </si>
  <si>
    <t>Первые 3 мес продавать Plus 990 (+ Lifetime 2990). Не упираться в 1990.</t>
  </si>
  <si>
    <t>ПРАВИЛО 3</t>
  </si>
  <si>
    <t>B2B-шлюпка при WAS≳500: агрегаты рынка HR/изданиям — не персональный offer-radar.</t>
  </si>
  <si>
    <t>GTM 1</t>
  </si>
  <si>
    <t>Консьерж-MVP: кнопка AI → TG; «скинь 990 на карту» до ЮKassa. Willingness-to-pay до биллинга.</t>
  </si>
  <si>
    <t>GTM 2</t>
  </si>
  <si>
    <t>Habr/VC: жёсткая статья про боль HH/ATS → ссылка на CRM. 1 пост = потенциально 1–3k regs.</t>
  </si>
  <si>
    <t>GTM 3</t>
  </si>
  <si>
    <t>Chrome clipper = бесплатный троян: инжест вакансий + база для SEO-агрегатора.</t>
  </si>
  <si>
    <t>GTM 4</t>
  </si>
  <si>
    <t>Freemium trap: пуш на стадии «Отправлено» → follow-up AI (страх неопределённости).</t>
  </si>
  <si>
    <t>GTM 5</t>
  </si>
  <si>
    <t>Build-in-public TG-канал фаундера → CAC≈0 на первых сотнях.</t>
  </si>
  <si>
    <t>PROD 1</t>
  </si>
  <si>
    <t>Zero-Data onboarding: PDF резюме → 3 карточки сразу (activation 15%→выше).</t>
  </si>
  <si>
    <t>PROD 2</t>
  </si>
  <si>
    <t>Продавать ATS-bypass / буллеты / keywords, не простыни cover letter.</t>
  </si>
  <si>
    <t>PROD 3</t>
  </si>
  <si>
    <t>TG-бот MUST: ссылка→карточка + «завтра собес → шпаргалка».</t>
  </si>
  <si>
    <t>PROD 4</t>
  </si>
  <si>
    <t>Резюме-редактор ATS (JSON + react-pdf): PDF бесплатно, AI-адаптация = Plus. Career OS.</t>
  </si>
  <si>
    <t>PROD 5</t>
  </si>
  <si>
    <t>Referral с дня 1 (друг +1м Plus / ты +лимиты) — защита от CAC Y2.</t>
  </si>
  <si>
    <t>PROD 6</t>
  </si>
  <si>
    <t>MVP data: anti-ghosting плашка + AI negotiator на этапе Оффер. Leaderboard — вирал.</t>
  </si>
  <si>
    <t>LEGAL</t>
  </si>
  <si>
    <t>Не делать: auto-apply, продажа intent/«перехват оффера» конкурентам — спросить владельца.</t>
  </si>
  <si>
    <t>ФАЗА 0</t>
  </si>
  <si>
    <t>Лендинг/бот + консьерж 990 + пост в круге. Первые реальные деньги на карту.</t>
  </si>
  <si>
    <t>ФАЗА 1</t>
  </si>
  <si>
    <t>Onboarding PDF + resume editor + clipper + TG-бот + пейволл-гейты.</t>
  </si>
  <si>
    <t>ФАЗА 2</t>
  </si>
  <si>
    <t>Follow-up / negotiator / anti-ghosting. Публичный leaderboard.</t>
  </si>
  <si>
    <t>ФАЗА 3</t>
  </si>
  <si>
    <t>B2B агрегаты (скорость найма). Shareable CV link для прогрева работодателей.</t>
  </si>
  <si>
    <t>PRODUCT — кто юзер, полярная звезда, конверсия</t>
  </si>
  <si>
    <t>1. Кто такой юзер</t>
  </si>
  <si>
    <t>User (счётчик базы)</t>
  </si>
  <si>
    <t>Любой зарегистрированный аккаунт (есть login).</t>
  </si>
  <si>
    <t>ICP (платящий)</t>
  </si>
  <si>
    <t>IT Middle/Senior или релокант; активный поиск; ЗП ≳150k; болит ATS/воронка.</t>
  </si>
  <si>
    <t>Не ICP</t>
  </si>
  <si>
    <t>«Просто смотрю рынок», junior без бюджета, карьерный турист, HR/коуч.</t>
  </si>
  <si>
    <t>Free-ценность</t>
  </si>
  <si>
    <t>CRM + клиппер + resume PDF + AI-taste (3 мэтча). Не жечь токены.</t>
  </si>
  <si>
    <t>Paid-ценность</t>
  </si>
  <si>
    <t>Plus 990: ATS-bypass/адаптация/follow-up. Lifetime 2990/3м. Pro позже.</t>
  </si>
  <si>
    <t>Почему минус</t>
  </si>
  <si>
    <t>EBITDA &lt; 0 из‑за VPS/админ/CAC, не GLM. Домен 1×/год.</t>
  </si>
  <si>
    <t>Позиционирование</t>
  </si>
  <si>
    <t>Career OS (резюме-якорь + воронка), не «ещё один канбан».</t>
  </si>
  <si>
    <t>2. North Star</t>
  </si>
  <si>
    <t>WAS</t>
  </si>
  <si>
    <t>Weekly Active Searchers = сдвиг ≥1 карточки вакансии за 7 дней.</t>
  </si>
  <si>
    <t>Time-to-100</t>
  </si>
  <si>
    <t>Месяц, когда база ≥100 юзеров (нужна статистика, не 10 regs).</t>
  </si>
  <si>
    <t>Guardrail $</t>
  </si>
  <si>
    <t>Paying + MRR + Lifetime cash. WAS↑ без pay → слабый пейволл.</t>
  </si>
  <si>
    <t>Цель</t>
  </si>
  <si>
    <t>60 платящих + Personal не в ноль до дивиденда с продукта.</t>
  </si>
  <si>
    <t>3. Воронка (жёсткие цифры)</t>
  </si>
  <si>
    <t>Шаг</t>
  </si>
  <si>
    <t>Base</t>
  </si>
  <si>
    <t>Opt</t>
  </si>
  <si>
    <t>Pes</t>
  </si>
  <si>
    <t>Signup → Activated (7д)</t>
  </si>
  <si>
    <t>15%</t>
  </si>
  <si>
    <t>25%</t>
  </si>
  <si>
    <t>10%</t>
  </si>
  <si>
    <t>Activated → Paid (≈ stock/act)</t>
  </si>
  <si>
    <t>27%</t>
  </si>
  <si>
    <t>28%</t>
  </si>
  <si>
    <t>20%</t>
  </si>
  <si>
    <t>Stock платящих от базы</t>
  </si>
  <si>
    <t>4%</t>
  </si>
  <si>
    <t>7%</t>
  </si>
  <si>
    <t>2%</t>
  </si>
  <si>
    <t>Микс among paid (early)</t>
  </si>
  <si>
    <t>Lite20/Plus70/Pro10</t>
  </si>
  <si>
    <t>больше Plus</t>
  </si>
  <si>
    <t>больше Lite</t>
  </si>
  <si>
    <t>Lifetime share of new pay</t>
  </si>
  <si>
    <t>30%</t>
  </si>
  <si>
    <t>40%</t>
  </si>
  <si>
    <t>Industry activation (справка)</t>
  </si>
  <si>
    <t>B2C часто 15–20%, не 40%</t>
  </si>
  <si>
    <t>4. LLM vs серверы</t>
  </si>
  <si>
    <t>LLM Free ₽/юзер/мес</t>
  </si>
  <si>
    <t>LLM на платящего</t>
  </si>
  <si>
    <t>ARPU платящего (sub)</t>
  </si>
  <si>
    <t>Lifetime цена</t>
  </si>
  <si>
    <t>Запас sub после LLM</t>
  </si>
  <si>
    <t>Вывод</t>
  </si>
  <si>
    <t>Модель окупается. Угроза = медленный набор и Personal runway, не GLM.</t>
  </si>
  <si>
    <t>Срез base мес12</t>
  </si>
  <si>
    <t>users=1900 WAS≈475 pay=76 rev=78157</t>
  </si>
  <si>
    <t>Time-to-100 / 60 pay / runway</t>
  </si>
  <si>
    <t>1 / 11 / None</t>
  </si>
  <si>
    <t>INPUTS — соло-бутстрап</t>
  </si>
  <si>
    <t>A. Макро</t>
  </si>
  <si>
    <t>Курс USD/RUB</t>
  </si>
  <si>
    <t>Эквайринг</t>
  </si>
  <si>
    <t>УСН</t>
  </si>
  <si>
    <t>B. Цены</t>
  </si>
  <si>
    <t>Free</t>
  </si>
  <si>
    <t>Lite</t>
  </si>
  <si>
    <t>early — не касса</t>
  </si>
  <si>
    <t>Plus</t>
  </si>
  <si>
    <t>касса первых месяцев</t>
  </si>
  <si>
    <t>Pro</t>
  </si>
  <si>
    <t>после доверия / decoy</t>
  </si>
  <si>
    <t>Lifetime «до оффера»</t>
  </si>
  <si>
    <t>покрывает ~3 мес</t>
  </si>
  <si>
    <t>Доля новых pay → Lifetime</t>
  </si>
  <si>
    <t>C. Микс BASE (~4% paid, Plus-heavy)</t>
  </si>
  <si>
    <t>Free %</t>
  </si>
  <si>
    <t>Lite %</t>
  </si>
  <si>
    <t>~20% among paid</t>
  </si>
  <si>
    <t>Plus %</t>
  </si>
  <si>
    <t>~70% among paid — касса</t>
  </si>
  <si>
    <t>Pro %</t>
  </si>
  <si>
    <t>~10% among paid</t>
  </si>
  <si>
    <t>D. Набор с НУЛЯ (цель 100/мес1)</t>
  </si>
  <si>
    <t>Юзеры на старте</t>
  </si>
  <si>
    <t>должно быть 0</t>
  </si>
  <si>
    <t>Регистраций в мес 1</t>
  </si>
  <si>
    <t>CPO: иначе нет A/B</t>
  </si>
  <si>
    <t>Рост набора MoM</t>
  </si>
  <si>
    <t>Churn базы</t>
  </si>
  <si>
    <t>Месяцев soft-launch</t>
  </si>
  <si>
    <t>0 = не душить старт</t>
  </si>
  <si>
    <t>Коэф soft-launch</t>
  </si>
  <si>
    <t>Churn платящих</t>
  </si>
  <si>
    <t>нашёл работу → отписка</t>
  </si>
  <si>
    <t>Activation signup→act</t>
  </si>
  <si>
    <t>не 40% — розовые очки</t>
  </si>
  <si>
    <t>E. LLM (min burn)</t>
  </si>
  <si>
    <t>Input $/1M</t>
  </si>
  <si>
    <t>Output $/1M</t>
  </si>
  <si>
    <t>Cache $/1M</t>
  </si>
  <si>
    <t>Cache hit</t>
  </si>
  <si>
    <t>Util лимита (paid)</t>
  </si>
  <si>
    <t>Токены мэтч in</t>
  </si>
  <si>
    <t>Токены мэтч out</t>
  </si>
  <si>
    <t>Токены письмо in</t>
  </si>
  <si>
    <t>Токены письмо out</t>
  </si>
  <si>
    <t>Токены адапт in</t>
  </si>
  <si>
    <t>Токены адапт out</t>
  </si>
  <si>
    <t>Токены TG in</t>
  </si>
  <si>
    <t>Токены TG out</t>
  </si>
  <si>
    <t>Lite мэтчи</t>
  </si>
  <si>
    <t>Lite письма</t>
  </si>
  <si>
    <t>Lite адаптации</t>
  </si>
  <si>
    <t>Plus мэтчи</t>
  </si>
  <si>
    <t>Plus письма</t>
  </si>
  <si>
    <t>Plus адаптации</t>
  </si>
  <si>
    <t>Pro мэтчи</t>
  </si>
  <si>
    <t>Pro письма</t>
  </si>
  <si>
    <t>Pro адаптации</t>
  </si>
  <si>
    <t>TG постов/день</t>
  </si>
  <si>
    <t>Дней в месяце</t>
  </si>
  <si>
    <t>Доля TG в LLM</t>
  </si>
  <si>
    <t>LLM ₽ на 1k юзеров сверх</t>
  </si>
  <si>
    <t>WAS доля базы</t>
  </si>
  <si>
    <t>Месяцев Lifetime</t>
  </si>
  <si>
    <t>ИП ₽ если выручка ≥ порога</t>
  </si>
  <si>
    <t>Порог выручки для ИП</t>
  </si>
  <si>
    <t>F. Инфра ступени</t>
  </si>
  <si>
    <t>Инфра при 0 юзерах</t>
  </si>
  <si>
    <t>минимальный VPS пока пусто</t>
  </si>
  <si>
    <t>Инфра фаза1</t>
  </si>
  <si>
    <t>1…500</t>
  </si>
  <si>
    <t>Порог фазы1</t>
  </si>
  <si>
    <t>Инфра фаза2</t>
  </si>
  <si>
    <t>Порог фазы2</t>
  </si>
  <si>
    <t>Инфра фаза3</t>
  </si>
  <si>
    <t>G. CAC (Y1 органика → Y2 платный)</t>
  </si>
  <si>
    <t>Банк</t>
  </si>
  <si>
    <t>Маркетинг DIY</t>
  </si>
  <si>
    <t>CAC год 1</t>
  </si>
  <si>
    <t>guerrilla / referral</t>
  </si>
  <si>
    <t>CAC год 2</t>
  </si>
  <si>
    <t>Директ/VK когда TG выгорит</t>
  </si>
  <si>
    <t>Referral cut CAC с м.6</t>
  </si>
  <si>
    <t>Порог дивиденда EBITDA</t>
  </si>
  <si>
    <t>Доля дивиденда</t>
  </si>
  <si>
    <t>H. B2B (WAS-порог, агрегаты — не intent-radar)</t>
  </si>
  <si>
    <t>B2B цена</t>
  </si>
  <si>
    <t>B2B мин. месяц</t>
  </si>
  <si>
    <t>B2B мин. WAS</t>
  </si>
  <si>
    <t>не персональные сигналы</t>
  </si>
  <si>
    <t>B2B кап (base)</t>
  </si>
  <si>
    <t>I. Личный runway</t>
  </si>
  <si>
    <t>Личные накопления</t>
  </si>
  <si>
    <t>это ТВОИ деньги</t>
  </si>
  <si>
    <t>Жизнь ₽/мес</t>
  </si>
  <si>
    <t>аренда/еда/всё</t>
  </si>
  <si>
    <t>Подработка ₽/мес</t>
  </si>
  <si>
    <t>0 = только накопления</t>
  </si>
  <si>
    <t>Касса бизнеса старт</t>
  </si>
  <si>
    <t>Домен ₽/год</t>
  </si>
  <si>
    <t>мес 1 и 13</t>
  </si>
  <si>
    <t>Capex мес1 (без домена)</t>
  </si>
  <si>
    <t>Цель платящих</t>
  </si>
  <si>
    <t>J. Free AI-taste</t>
  </si>
  <si>
    <t>Free мэтчи / мес</t>
  </si>
  <si>
    <t>письма/адаптация = 0</t>
  </si>
  <si>
    <t>Free util</t>
  </si>
  <si>
    <t>Считается с Inputs (зелёное) — крути жёлтое</t>
  </si>
  <si>
    <t>₽ за мэтч</t>
  </si>
  <si>
    <t>₽ за письмо</t>
  </si>
  <si>
    <t>₽ за адаптацию</t>
  </si>
  <si>
    <t>₽ за TG-разбор</t>
  </si>
  <si>
    <t>LLM Lite ₽/мес</t>
  </si>
  <si>
    <t>LLM Plus ₽/мес</t>
  </si>
  <si>
    <t>LLM Pro ₽/мес</t>
  </si>
  <si>
    <t>LLM shared TG ₽/мес</t>
  </si>
  <si>
    <t>Доля платящих</t>
  </si>
  <si>
    <t>ARPU всех (sub-эквив)</t>
  </si>
  <si>
    <t>ARPU платящего</t>
  </si>
  <si>
    <t>LLM ARPU всех</t>
  </si>
  <si>
    <t>LTV (sub)</t>
  </si>
  <si>
    <t>LTV/CAC Y1</t>
  </si>
  <si>
    <t>LTV/CAC Y2</t>
  </si>
  <si>
    <t>Lifetime / ARPU_pay (мес)</t>
  </si>
  <si>
    <t>BOOTSTRAP — путь с нуля без инвесторов</t>
  </si>
  <si>
    <t>Смотри сюда, если запускаешь один. PnL — детализация тех же цифр.</t>
  </si>
  <si>
    <t>Реальность старта</t>
  </si>
  <si>
    <t>Инвесторы</t>
  </si>
  <si>
    <t>нет</t>
  </si>
  <si>
    <t>Команда</t>
  </si>
  <si>
    <t>1 человек (ты)</t>
  </si>
  <si>
    <t>Юзеры день 0</t>
  </si>
  <si>
    <t>Чистый личный burn ₽/мес</t>
  </si>
  <si>
    <t>Runway месяцев (грубо)</t>
  </si>
  <si>
    <t>Месяц первого платящего (base)</t>
  </si>
  <si>
    <t>Time-to-100 users (base)</t>
  </si>
  <si>
    <t>Месяц 60 платящих (base)</t>
  </si>
  <si>
    <t>Личные деньги кончаются (base)</t>
  </si>
  <si>
    <t>хватает на 24м</t>
  </si>
  <si>
    <t>Месяц 60 платящих (opt)</t>
  </si>
  <si>
    <t>Личные деньги кончаются (pes)</t>
  </si>
  <si>
    <t>Pes = долина смерти (тихий набор)</t>
  </si>
  <si>
    <t>acq×0.12</t>
  </si>
  <si>
    <t>Что делать руками первые 90 дней</t>
  </si>
  <si>
    <t>1. Консьерж: AI-кнопка → TG → 990 на карту. Не жди ЮKassa.</t>
  </si>
  <si>
    <t>2. Цель 100 regs/мес: TG-чаты + LinkedIn + Habr/VC + build-in-public.</t>
  </si>
  <si>
    <t>3. Clipper + TG-бот (ссылка→карточка). PDF onboarding → 3 карточки.</t>
  </si>
  <si>
    <t>4. Касса = Plus 990 + Lifetime 2990. Free = CRM+PDF+taste. Минус = VPS.</t>
  </si>
  <si>
    <t>5. B2B агрегаты после WAS≳500. Intent/offer-radar — НЕ без спроса владельцу.</t>
  </si>
  <si>
    <t>6. Personal burn = жизнь − подработка. Следи за м.13.</t>
  </si>
  <si>
    <t>Помесячно BASE</t>
  </si>
  <si>
    <t>Мес</t>
  </si>
  <si>
    <t>Signups</t>
  </si>
  <si>
    <t>Юзеры</t>
  </si>
  <si>
    <t>Платящие</t>
  </si>
  <si>
    <t>Rev sub</t>
  </si>
  <si>
    <t>Rev LT</t>
  </si>
  <si>
    <t>Выручка</t>
  </si>
  <si>
    <t>EBITDA</t>
  </si>
  <si>
    <t>Personal</t>
  </si>
  <si>
    <t>PnL 24м — Base соло</t>
  </si>
  <si>
    <t>Месяц</t>
  </si>
  <si>
    <t>Выручка sub</t>
  </si>
  <si>
    <t>Выручка Lifetime</t>
  </si>
  <si>
    <t>Выручка B2C</t>
  </si>
  <si>
    <t>Выручка B2B</t>
  </si>
  <si>
    <t>Выручка всего</t>
  </si>
  <si>
    <t>Fee+tax</t>
  </si>
  <si>
    <t>LLM всего</t>
  </si>
  <si>
    <t>Инфра (серверы)</t>
  </si>
  <si>
    <t>Домен (год)</t>
  </si>
  <si>
    <t>Админ</t>
  </si>
  <si>
    <t>CAC</t>
  </si>
  <si>
    <t>CAC unit</t>
  </si>
  <si>
    <t>GM после LLM</t>
  </si>
  <si>
    <t>EBITDA pre-div</t>
  </si>
  <si>
    <t>Дивиденд тебе</t>
  </si>
  <si>
    <t>Маржа</t>
  </si>
  <si>
    <t>new_pay (служебное)</t>
  </si>
  <si>
    <t>new_lt (служебное)</t>
  </si>
  <si>
    <t>lt_active (служебное)</t>
  </si>
  <si>
    <t>sub_pay (служебное)</t>
  </si>
  <si>
    <t>Сумма выручки 24м</t>
  </si>
  <si>
    <t>Сумма Lifetime 24м</t>
  </si>
  <si>
    <t>Сумма LLM 24м</t>
  </si>
  <si>
    <t>Сумма инфра 24м</t>
  </si>
  <si>
    <t>Сумма CAC 24м</t>
  </si>
  <si>
    <t>Сумма EBITDA 24м</t>
  </si>
  <si>
    <t>Дивиденд тебе 24м</t>
  </si>
  <si>
    <t>Угроза = Personal runway + медленный набор (см. Pes), не LLM</t>
  </si>
  <si>
    <t>Две кассы: Business + Personal</t>
  </si>
  <si>
    <t>Biz начало</t>
  </si>
  <si>
    <t>Capex</t>
  </si>
  <si>
    <t>Bailout из личного</t>
  </si>
  <si>
    <t>Biz конец</t>
  </si>
  <si>
    <t>Personal начало</t>
  </si>
  <si>
    <t>Жизнь</t>
  </si>
  <si>
    <t>Подработка</t>
  </si>
  <si>
    <t>Дивиденд</t>
  </si>
  <si>
    <t>Personal конец</t>
  </si>
  <si>
    <t>Base / Optimistic / Pessimistic — соло</t>
  </si>
  <si>
    <t>Optimistic</t>
  </si>
  <si>
    <t>Pessimistic</t>
  </si>
  <si>
    <t>ARPU sub-эквив</t>
  </si>
  <si>
    <t>Платящих %</t>
  </si>
  <si>
    <t>Time-to-100 users</t>
  </si>
  <si>
    <t>Мес. первого платящего</t>
  </si>
  <si>
    <t>Мес. 60 платящих</t>
  </si>
  <si>
    <t>Личные ₽ кончаются в мес.</t>
  </si>
  <si>
    <t>Юзеры мес12</t>
  </si>
  <si>
    <t>WAS мес12</t>
  </si>
  <si>
    <t>Платящие мес12</t>
  </si>
  <si>
    <t>Выручка мес12</t>
  </si>
  <si>
    <t>Lifetime мес12</t>
  </si>
  <si>
    <t>EBITDA мес12</t>
  </si>
  <si>
    <t>Personal конец мес12</t>
  </si>
  <si>
    <t>Юзеры мес24</t>
  </si>
  <si>
    <t>Платящие мес24</t>
  </si>
  <si>
    <t>Выручка мес24</t>
  </si>
  <si>
    <t>EBITDA мес24</t>
  </si>
  <si>
    <t>Personal конец мес24</t>
  </si>
  <si>
    <t>Выручка сумм 24м</t>
  </si>
  <si>
    <t>Lifetime сумм 24м</t>
  </si>
  <si>
    <t>LLM сумм 24м</t>
  </si>
  <si>
    <t>Инфра сумм 24м</t>
  </si>
  <si>
    <t>EBITDA сумм 24м</t>
  </si>
  <si>
    <t>Base=guerrilla 100/м1. Opt=Habr×2. Pes=тихий набор (долина смерти). Lifetime + CAC Y2 вшиты.</t>
  </si>
  <si>
    <t>Графики соло-запуска</t>
  </si>
  <si>
    <t>Unit — LLM ок; угроза = набор + CAC Y2</t>
  </si>
  <si>
    <t>Lifetime</t>
  </si>
  <si>
    <t>LLM на платящего ₽/мес</t>
  </si>
  <si>
    <t>LLM Free (taste)</t>
  </si>
  <si>
    <t>CAC Y1 / Y2</t>
  </si>
  <si>
    <t>LTV/CAC Y2 (без referral)</t>
  </si>
  <si>
    <t>LTV/CAC Y2 с referral</t>
  </si>
  <si>
    <t>Payback Y1 ≈ CAC / (ARPU×(1-fee-tax))</t>
  </si>
  <si>
    <t>Сумма 24м: LLM / инфра / Lifetime</t>
  </si>
  <si>
    <t>Вывод: математика бьётся. Выживание = 100 regs/мес + Plus/LT + Personal.</t>
  </si>
  <si>
    <t>DASHBOARD — соло-бутстрап</t>
  </si>
  <si>
    <t>Нет инвесторов. Нет команды. Старт с 0. Открой Bootstrap для помесячки.</t>
  </si>
  <si>
    <t>Режим</t>
  </si>
  <si>
    <t>solo + guerrilla GTM</t>
  </si>
  <si>
    <t>Цены</t>
  </si>
  <si>
    <t>490 / 990(+LT 2990) / 1990</t>
  </si>
  <si>
    <t>Платящих (base)</t>
  </si>
  <si>
    <t>4% Plus-heavy</t>
  </si>
  <si>
    <t>Activation model</t>
  </si>
  <si>
    <t>Signups мес1</t>
  </si>
  <si>
    <t>North Star</t>
  </si>
  <si>
    <t>ARPU pay / LT</t>
  </si>
  <si>
    <t>990 / 2990</t>
  </si>
  <si>
    <t>LLM Free / на pay</t>
  </si>
  <si>
    <t>0.00 / 0.26</t>
  </si>
  <si>
    <t>LTV/CAC Y1 / Y2</t>
  </si>
  <si>
    <t>9.9 / 2.2</t>
  </si>
  <si>
    <t>Lifetime 24м</t>
  </si>
  <si>
    <t>Личный burn</t>
  </si>
  <si>
    <t>Runway мес (грубо)</t>
  </si>
  <si>
    <t>Мес → 60 pay</t>
  </si>
  <si>
    <t>Personal dry</t>
  </si>
  <si>
    <t>Выручка мес6</t>
  </si>
  <si>
    <t>EBITDA мес6</t>
  </si>
  <si>
    <t>Платящие мес6</t>
  </si>
  <si>
    <t>Personal мес12</t>
  </si>
  <si>
    <t>Personal мес24</t>
  </si>
  <si>
    <t>Сценарий</t>
  </si>
  <si>
    <t>60 payers</t>
  </si>
  <si>
    <t>ok</t>
  </si>
  <si>
    <t>—</t>
  </si>
  <si>
    <t>Крути на Inputs: Signups мес1, жизнь ₽/мес, личные накопления — это твои реальные рычаги.</t>
  </si>
  <si>
    <t>Инфра соло</t>
  </si>
  <si>
    <t>0 юзеров: 2300 ₽ (минимальный VPS)</t>
  </si>
  <si>
    <t>1–500: 3800 ₽</t>
  </si>
  <si>
    <t>500–2000: 14800 ₽</t>
  </si>
  <si>
    <t>&gt;2000: 34800 ₽</t>
  </si>
  <si>
    <t>Домен ≈ 1000 ₽/год (мес 1 и 13 в PnL), не дроби на 12 в инфру.</t>
  </si>
  <si>
    <t>Clipper у юзеров = proxy 0. Один ты — не строй HighLoad заранее.</t>
  </si>
  <si>
    <t>Минус на старте ≈ эта таблица + CAC/админ. GLM при taste+paid — копейки.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</si>
</sst>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64" fontId="0" fillId="0" borderId="0" xfId="0" applyNumberFormat="1"/>
    <xf numFmtId="164" fontId="0" fillId="3" borderId="1" xfId="0" applyNumberFormat="1" applyFill="1" applyBorder="1"/>
    <xf numFmtId="165" fontId="0" fillId="3" borderId="1" xfId="0" applyNumberFormat="1" applyFill="1" applyBorder="1"/>
    <xf numFmtId="166" fontId="0" fillId="3" borderId="1" xfId="0" applyNumberFormat="1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Мес 12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Выручка м12</c:v>
          </c:tx>
          <c:spPr>
            <a:solidFill>
              <a:srgbClr val="0D7377"/>
            </a:solidFill>
          </c:spPr>
          <c:cat>
            <c:strRef>
              <c:f>Scenarios!$B$3:$D$3</c:f>
              <c:strCache>
                <c:ptCount val="3"/>
                <c:pt idx="0">
                  <c:v>Base</c:v>
                </c:pt>
                <c:pt idx="1">
                  <c:v>Optimistic</c:v>
                </c:pt>
                <c:pt idx="2">
                  <c:v>Pessimistic</c:v>
                </c:pt>
              </c:strCache>
            </c:strRef>
          </c:cat>
          <c:val>
            <c:numRef>
              <c:f>Scenarios!$B$13:$D$13</c:f>
              <c:numCache>
                <c:formatCode>General</c:formatCode>
                <c:ptCount val="3"/>
                <c:pt idx="0">
                  <c:v>78157.06860352625</c:v>
                </c:pt>
                <c:pt idx="1">
                  <c:v>478871.712179696</c:v>
                </c:pt>
                <c:pt idx="2">
                  <c:v>4337.852517662299</c:v>
                </c:pt>
              </c:numCache>
            </c:numRef>
          </c:val>
        </c:ser>
        <c:ser>
          <c:idx val="1"/>
          <c:order val="1"/>
          <c:tx>
            <c:v>EBITDA м12</c:v>
          </c:tx>
          <c:spPr>
            <a:solidFill>
              <a:srgbClr val="E85D04"/>
            </a:solidFill>
          </c:spPr>
          <c:cat>
            <c:strRef>
              <c:f>Scenarios!$B$3:$D$3</c:f>
              <c:strCache>
                <c:ptCount val="3"/>
                <c:pt idx="0">
                  <c:v>Base</c:v>
                </c:pt>
                <c:pt idx="1">
                  <c:v>Optimistic</c:v>
                </c:pt>
                <c:pt idx="2">
                  <c:v>Pessimistic</c:v>
                </c:pt>
              </c:strCache>
            </c:strRef>
          </c:cat>
          <c:val>
            <c:numRef>
              <c:f>Scenarios!$B$15:$D$15</c:f>
              <c:numCache>
                <c:formatCode>General</c:formatCode>
                <c:ptCount val="3"/>
                <c:pt idx="0">
                  <c:v>41554.96689785373</c:v>
                </c:pt>
                <c:pt idx="1">
                  <c:v>210539.5804320446</c:v>
                </c:pt>
                <c:pt idx="2">
                  <c:v>-3045.159694736095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Набор с нуля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Юзеры</c:v>
          </c:tx>
          <c:spPr>
            <a:ln w="31750">
              <a:solidFill>
                <a:srgbClr val="1F4E79"/>
              </a:solidFill>
            </a:ln>
          </c:spPr>
          <c:marker>
            <c:symbol val="none"/>
          </c:marker>
          <c:cat>
            <c:numRef>
              <c:f>PnL!$B$3:$Y$3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PnL!$B$5:$Y$5</c:f>
              <c:numCache>
                <c:formatCode>General</c:formatCode>
                <c:ptCount val="24"/>
                <c:pt idx="0">
                  <c:v>100.0</c:v>
                </c:pt>
                <c:pt idx="1">
                  <c:v>206.0</c:v>
                </c:pt>
                <c:pt idx="2">
                  <c:v>319.08</c:v>
                </c:pt>
                <c:pt idx="3">
                  <c:v>440.428</c:v>
                </c:pt>
                <c:pt idx="4">
                  <c:v>571.3542560000001</c:v>
                </c:pt>
                <c:pt idx="5">
                  <c:v>713.3071689600001</c:v>
                </c:pt>
                <c:pt idx="6">
                  <c:v>867.8910073408002</c:v>
                </c:pt>
                <c:pt idx="7">
                  <c:v>1036.8856876409602</c:v>
                </c:pt>
                <c:pt idx="8">
                  <c:v>1222.2688640119836</c:v>
                </c:pt>
                <c:pt idx="9">
                  <c:v>1426.2406079162834</c:v>
                </c:pt>
                <c:pt idx="10">
                  <c:v>1651.2509922757274</c:v>
                </c:pt>
                <c:pt idx="11">
                  <c:v>1900.0309320737356</c:v>
                </c:pt>
                <c:pt idx="12">
                  <c:v>2175.6266754040093</c:v>
                </c:pt>
                <c:pt idx="13">
                  <c:v>2481.4383860450307</c:v>
                </c:pt>
                <c:pt idx="14">
                  <c:v>2821.263311387422</c:v>
                </c:pt>
                <c:pt idx="15">
                  <c:v>3199.3440886298813</c:v>
                </c:pt>
                <c:pt idx="16">
                  <c:v>3620.4228083488774</c:v>
                </c:pt>
                <c:pt idx="17">
                  <c:v>4089.8015286891487</c:v>
                </c:pt>
                <c:pt idx="18">
                  <c:v>4613.4100164699485</c:v>
                </c:pt>
                <c:pt idx="19">
                  <c:v>5197.881584524157</c:v>
                </c:pt>
                <c:pt idx="20">
                  <c:v>5850.637998780203</c:v>
                </c:pt>
                <c:pt idx="21">
                  <c:v>6579.984545300185</c:v>
                </c:pt>
                <c:pt idx="22">
                  <c:v>7395.216478202585</c:v>
                </c:pt>
                <c:pt idx="23">
                  <c:v>8306.738215805288</c:v>
                </c:pt>
              </c:numCache>
            </c:numRef>
          </c:val>
        </c:ser>
        <c:ser>
          <c:idx val="1"/>
          <c:order val="1"/>
          <c:tx>
            <c:v>Платящие</c:v>
          </c:tx>
          <c:spPr>
            <a:ln w="31750">
              <a:solidFill>
                <a:srgbClr val="2A9D8F"/>
              </a:solidFill>
            </a:ln>
          </c:spPr>
          <c:marker>
            <c:symbol val="none"/>
          </c:marker>
          <c:cat>
            <c:numRef>
              <c:f>PnL!$B$3:$Y$3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PnL!$B$7:$Y$7</c:f>
              <c:numCache>
                <c:formatCode>General</c:formatCode>
                <c:ptCount val="24"/>
                <c:pt idx="0">
                  <c:v>4.000000000000001</c:v>
                </c:pt>
                <c:pt idx="1">
                  <c:v>8.240000000000002</c:v>
                </c:pt>
                <c:pt idx="2">
                  <c:v>12.763200000000001</c:v>
                </c:pt>
                <c:pt idx="3">
                  <c:v>17.617120000000003</c:v>
                </c:pt>
                <c:pt idx="4">
                  <c:v>22.85417024000001</c:v>
                </c:pt>
                <c:pt idx="5">
                  <c:v>28.532286758400012</c:v>
                </c:pt>
                <c:pt idx="6">
                  <c:v>34.71564029363201</c:v>
                </c:pt>
                <c:pt idx="7">
                  <c:v>41.475427505638415</c:v>
                </c:pt>
                <c:pt idx="8">
                  <c:v>48.89075456047935</c:v>
                </c:pt>
                <c:pt idx="9">
                  <c:v>57.04962431665135</c:v>
                </c:pt>
                <c:pt idx="10">
                  <c:v>66.05003969102911</c:v>
                </c:pt>
                <c:pt idx="11">
                  <c:v>76.00123728294943</c:v>
                </c:pt>
                <c:pt idx="12">
                  <c:v>87.02506701616039</c:v>
                </c:pt>
                <c:pt idx="13">
                  <c:v>99.25753544180125</c:v>
                </c:pt>
                <c:pt idx="14">
                  <c:v>112.8505324554969</c:v>
                </c:pt>
                <c:pt idx="15">
                  <c:v>127.97376354519528</c:v>
                </c:pt>
                <c:pt idx="16">
                  <c:v>144.81691233395512</c:v>
                </c:pt>
                <c:pt idx="17">
                  <c:v>163.59206114756597</c:v>
                </c:pt>
                <c:pt idx="18">
                  <c:v>184.536400658798</c:v>
                </c:pt>
                <c:pt idx="19">
                  <c:v>207.9152633809663</c:v>
                </c:pt>
                <c:pt idx="20">
                  <c:v>234.02551995120817</c:v>
                </c:pt>
                <c:pt idx="21">
                  <c:v>263.19938181200746</c:v>
                </c:pt>
                <c:pt idx="22">
                  <c:v>295.80865912810344</c:v>
                </c:pt>
                <c:pt idx="23">
                  <c:v>332.2695286322116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Выручка и EBITDA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Выручка</c:v>
          </c:tx>
          <c:spPr>
            <a:ln w="31750">
              <a:solidFill>
                <a:srgbClr val="0D7377"/>
              </a:solidFill>
            </a:ln>
          </c:spPr>
          <c:marker>
            <c:symbol val="none"/>
          </c:marker>
          <c:cat>
            <c:numRef>
              <c:f>PnL!$B$3:$Y$3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PnL!$B$12:$Y$12</c:f>
              <c:numCache>
                <c:formatCode>General</c:formatCode>
                <c:ptCount val="24"/>
                <c:pt idx="0">
                  <c:v>6360.000000000001</c:v>
                </c:pt>
                <c:pt idx="1">
                  <c:v>10113.600000000002</c:v>
                </c:pt>
                <c:pt idx="2">
                  <c:v>13841.207999999999</c:v>
                </c:pt>
                <c:pt idx="3">
                  <c:v>18756.2904</c:v>
                </c:pt>
                <c:pt idx="4">
                  <c:v>24065.93444160001</c:v>
                </c:pt>
                <c:pt idx="5">
                  <c:v>29829.20241657601</c:v>
                </c:pt>
                <c:pt idx="6">
                  <c:v>36111.541198030085</c:v>
                </c:pt>
                <c:pt idx="7">
                  <c:v>42985.59056377077</c:v>
                </c:pt>
                <c:pt idx="8">
                  <c:v>50532.0859880817</c:v>
                </c:pt>
                <c:pt idx="9">
                  <c:v>58840.86738991045</c:v>
                </c:pt>
                <c:pt idx="10">
                  <c:v>68012.0066949631</c:v>
                </c:pt>
                <c:pt idx="11">
                  <c:v>78157.06860352625</c:v>
                </c:pt>
                <c:pt idx="12">
                  <c:v>164400.52067480696</c:v>
                </c:pt>
                <c:pt idx="13">
                  <c:v>176881.3107643099</c:v>
                </c:pt>
                <c:pt idx="14">
                  <c:v>190754.6320080416</c:v>
                </c:pt>
                <c:pt idx="15">
                  <c:v>206193.8979639003</c:v>
                </c:pt>
                <c:pt idx="16">
                  <c:v>223392.95322756833</c:v>
                </c:pt>
                <c:pt idx="17">
                  <c:v>242568.5478723966</c:v>
                </c:pt>
                <c:pt idx="18">
                  <c:v>263963.10745915305</c:v>
                </c:pt>
                <c:pt idx="19">
                  <c:v>287847.83416579606</c:v>
                </c:pt>
                <c:pt idx="20">
                  <c:v>314526.17884854367</c:v>
                </c:pt>
                <c:pt idx="21">
                  <c:v>344337.7286182499</c:v>
                </c:pt>
                <c:pt idx="22">
                  <c:v>377662.5598618479</c:v>
                </c:pt>
                <c:pt idx="23">
                  <c:v>414926.1126261132</c:v>
                </c:pt>
              </c:numCache>
            </c:numRef>
          </c:val>
        </c:ser>
        <c:ser>
          <c:idx val="1"/>
          <c:order val="1"/>
          <c:tx>
            <c:v>EBITDA</c:v>
          </c:tx>
          <c:spPr>
            <a:ln w="31750">
              <a:solidFill>
                <a:srgbClr val="E85D04"/>
              </a:solidFill>
            </a:ln>
          </c:spPr>
          <c:marker>
            <c:symbol val="none"/>
          </c:marker>
          <c:cat>
            <c:numRef>
              <c:f>PnL!$B$3:$Y$3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PnL!$B$23:$Y$23</c:f>
              <c:numCache>
                <c:formatCode>General</c:formatCode>
                <c:ptCount val="24"/>
                <c:pt idx="0">
                  <c:v>-2344.9652432799994</c:v>
                </c:pt>
                <c:pt idx="1">
                  <c:v>-3430.859441156798</c:v>
                </c:pt>
                <c:pt idx="2">
                  <c:v>-582.0650854578262</c:v>
                </c:pt>
                <c:pt idx="3">
                  <c:v>3299.560698806761</c:v>
                </c:pt>
                <c:pt idx="4">
                  <c:v>-3514.3108832880675</c:v>
                </c:pt>
                <c:pt idx="5">
                  <c:v>2161.703939762815</c:v>
                </c:pt>
                <c:pt idx="6">
                  <c:v>7292.933321369879</c:v>
                </c:pt>
                <c:pt idx="7">
                  <c:v>12902.596689439662</c:v>
                </c:pt>
                <c:pt idx="8">
                  <c:v>19056.344934707493</c:v>
                </c:pt>
                <c:pt idx="9">
                  <c:v>25827.212726055364</c:v>
                </c:pt>
                <c:pt idx="10">
                  <c:v>33296.534223614</c:v>
                </c:pt>
                <c:pt idx="11">
                  <c:v>41554.96689785373</c:v>
                </c:pt>
                <c:pt idx="12">
                  <c:v>58214.14526375608</c:v>
                </c:pt>
                <c:pt idx="13">
                  <c:v>61708.623063419924</c:v>
                </c:pt>
                <c:pt idx="14">
                  <c:v>65029.30935456266</c:v>
                </c:pt>
                <c:pt idx="15">
                  <c:v>68717.33688683057</c:v>
                </c:pt>
                <c:pt idx="16">
                  <c:v>72818.6550759874</c:v>
                </c:pt>
                <c:pt idx="17">
                  <c:v>77384.61515967883</c:v>
                </c:pt>
                <c:pt idx="18">
                  <c:v>82472.62514253883</c:v>
                </c:pt>
                <c:pt idx="19">
                  <c:v>88146.88293112017</c:v>
                </c:pt>
                <c:pt idx="20">
                  <c:v>94479.19706564263</c:v>
                </c:pt>
                <c:pt idx="21">
                  <c:v>101549.90558294056</c:v>
                </c:pt>
                <c:pt idx="22">
                  <c:v>109448.90480774891</c:v>
                </c:pt>
                <c:pt idx="23">
                  <c:v>118276.80128384297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Личный runway (главный риск соло)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Personal cash</c:v>
          </c:tx>
          <c:spPr>
            <a:solidFill>
              <a:srgbClr val="6D597A">
                <a:alpha val="65000"/>
              </a:srgbClr>
            </a:solidFill>
            <a:ln>
              <a:solidFill>
                <a:srgbClr val="6D597A"/>
              </a:solidFill>
            </a:ln>
          </c:spPr>
          <c:cat>
            <c:numRef>
              <c:f>CashFlow!$B$3:$Y$3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CashFlow!$B$13:$Y$13</c:f>
              <c:numCache>
                <c:formatCode>General</c:formatCode>
                <c:ptCount val="24"/>
                <c:pt idx="0">
                  <c:v>280000.0</c:v>
                </c:pt>
                <c:pt idx="1">
                  <c:v>260000.0</c:v>
                </c:pt>
                <c:pt idx="2">
                  <c:v>240000.0</c:v>
                </c:pt>
                <c:pt idx="3">
                  <c:v>220000.0</c:v>
                </c:pt>
                <c:pt idx="4">
                  <c:v>200000.0</c:v>
                </c:pt>
                <c:pt idx="5">
                  <c:v>180000.0</c:v>
                </c:pt>
                <c:pt idx="6">
                  <c:v>160000.0</c:v>
                </c:pt>
                <c:pt idx="7">
                  <c:v>140000.0</c:v>
                </c:pt>
                <c:pt idx="8">
                  <c:v>120000.0</c:v>
                </c:pt>
                <c:pt idx="9">
                  <c:v>100000.0</c:v>
                </c:pt>
                <c:pt idx="10">
                  <c:v>80000.0</c:v>
                </c:pt>
                <c:pt idx="11">
                  <c:v>60000.0</c:v>
                </c:pt>
                <c:pt idx="12">
                  <c:v>48214.14526375608</c:v>
                </c:pt>
                <c:pt idx="13">
                  <c:v>39922.768327176</c:v>
                </c:pt>
                <c:pt idx="14">
                  <c:v>34952.077681738665</c:v>
                </c:pt>
                <c:pt idx="15">
                  <c:v>33669.414568569235</c:v>
                </c:pt>
                <c:pt idx="16">
                  <c:v>36488.06964455663</c:v>
                </c:pt>
                <c:pt idx="17">
                  <c:v>43872.684804235454</c:v>
                </c:pt>
                <c:pt idx="18">
                  <c:v>56345.30994677429</c:v>
                </c:pt>
                <c:pt idx="19">
                  <c:v>74492.19287789446</c:v>
                </c:pt>
                <c:pt idx="20">
                  <c:v>98971.38994353708</c:v>
                </c:pt>
                <c:pt idx="21">
                  <c:v>130521.29552647764</c:v>
                </c:pt>
                <c:pt idx="22">
                  <c:v>169970.20033422654</c:v>
                </c:pt>
                <c:pt idx="23">
                  <c:v>218247.0016180695</c:v>
                </c:pt>
              </c:numCache>
            </c:numRef>
          </c:val>
        </c:ser>
        <c:axId val="50040001"/>
        <c:axId val="50040002"/>
      </c:area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Касса бизнеса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Biz cash</c:v>
          </c:tx>
          <c:spPr>
            <a:ln w="31750">
              <a:solidFill>
                <a:srgbClr val="0D7377"/>
              </a:solidFill>
            </a:ln>
          </c:spPr>
          <c:marker>
            <c:symbol val="none"/>
          </c:marker>
          <c:cat>
            <c:numRef>
              <c:f>CashFlow!$B$3:$Y$3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CashFlow!$B$8:$Y$8</c:f>
              <c:numCache>
                <c:formatCode>General</c:formatCode>
                <c:ptCount val="24"/>
                <c:pt idx="0">
                  <c:v>23655.03475672</c:v>
                </c:pt>
                <c:pt idx="1">
                  <c:v>20224.175315563203</c:v>
                </c:pt>
                <c:pt idx="2">
                  <c:v>19642.110230105376</c:v>
                </c:pt>
                <c:pt idx="3">
                  <c:v>22941.670928912135</c:v>
                </c:pt>
                <c:pt idx="4">
                  <c:v>19427.360045624067</c:v>
                </c:pt>
                <c:pt idx="5">
                  <c:v>21589.06398538688</c:v>
                </c:pt>
                <c:pt idx="6">
                  <c:v>28881.997306756763</c:v>
                </c:pt>
                <c:pt idx="7">
                  <c:v>41784.593996196425</c:v>
                </c:pt>
                <c:pt idx="8">
                  <c:v>60840.93893090392</c:v>
                </c:pt>
                <c:pt idx="9">
                  <c:v>86668.15165695928</c:v>
                </c:pt>
                <c:pt idx="10">
                  <c:v>119964.68588057328</c:v>
                </c:pt>
                <c:pt idx="11">
                  <c:v>161519.652778427</c:v>
                </c:pt>
                <c:pt idx="12">
                  <c:v>219733.79804218307</c:v>
                </c:pt>
                <c:pt idx="13">
                  <c:v>281442.421105603</c:v>
                </c:pt>
                <c:pt idx="14">
                  <c:v>346471.73046016565</c:v>
                </c:pt>
                <c:pt idx="15">
                  <c:v>415189.0673469962</c:v>
                </c:pt>
                <c:pt idx="16">
                  <c:v>488007.7224229836</c:v>
                </c:pt>
                <c:pt idx="17">
                  <c:v>565392.3375826625</c:v>
                </c:pt>
                <c:pt idx="18">
                  <c:v>647864.9627252013</c:v>
                </c:pt>
                <c:pt idx="19">
                  <c:v>736011.8456563214</c:v>
                </c:pt>
                <c:pt idx="20">
                  <c:v>830491.042721964</c:v>
                </c:pt>
                <c:pt idx="21">
                  <c:v>932040.9483049045</c:v>
                </c:pt>
                <c:pt idx="22">
                  <c:v>1041489.8531126534</c:v>
                </c:pt>
                <c:pt idx="23">
                  <c:v>1159766.6543964962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LLM vs серверы (минус = инфра)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LLM</c:v>
          </c:tx>
          <c:spPr>
            <a:ln w="31750">
              <a:solidFill>
                <a:srgbClr val="9B5DE5"/>
              </a:solidFill>
            </a:ln>
          </c:spPr>
          <c:marker>
            <c:symbol val="none"/>
          </c:marker>
          <c:cat>
            <c:numRef>
              <c:f>PnL!$B$3:$Y$3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PnL!$B$14:$Y$14</c:f>
              <c:numCache>
                <c:formatCode>General</c:formatCode>
                <c:ptCount val="24"/>
                <c:pt idx="0">
                  <c:v>32.56524328</c:v>
                </c:pt>
                <c:pt idx="1">
                  <c:v>38.2354411568</c:v>
                </c:pt>
                <c:pt idx="2">
                  <c:v>44.284365457823995</c:v>
                </c:pt>
                <c:pt idx="3">
                  <c:v>50.7755651932384</c:v>
                </c:pt>
                <c:pt idx="4">
                  <c:v>57.779129144074005</c:v>
                </c:pt>
                <c:pt idx="5">
                  <c:v>65.37253580135105</c:v>
                </c:pt>
                <c:pt idx="6">
                  <c:v>73.64160138790206</c:v>
                </c:pt>
                <c:pt idx="7">
                  <c:v>82.68153796741585</c:v>
                </c:pt>
                <c:pt idx="8">
                  <c:v>92.59813507169338</c:v>
                </c:pt>
                <c:pt idx="9">
                  <c:v>103.50907987559293</c:v>
                </c:pt>
                <c:pt idx="10">
                  <c:v>115.54543274024266</c:v>
                </c:pt>
                <c:pt idx="11">
                  <c:v>128.85327695187567</c:v>
                </c:pt>
                <c:pt idx="12">
                  <c:v>143.59556373193638</c:v>
                </c:pt>
                <c:pt idx="13">
                  <c:v>159.95417611285427</c:v>
                </c:pt>
                <c:pt idx="14">
                  <c:v>178.13223809549714</c:v>
                </c:pt>
                <c:pt idx="15">
                  <c:v>198.35669866511117</c:v>
                </c:pt>
                <c:pt idx="16">
                  <c:v>220.88122378318963</c:v>
                </c:pt>
                <c:pt idx="17">
                  <c:v>245.98943343874157</c:v>
                </c:pt>
                <c:pt idx="18">
                  <c:v>273.9985252848656</c:v>
                </c:pt>
                <c:pt idx="19">
                  <c:v>305.26333136251594</c:v>
                </c:pt>
                <c:pt idx="20">
                  <c:v>340.1808599868765</c:v>
                </c:pt>
                <c:pt idx="21">
                  <c:v>379.1953811145087</c:v>
                </c:pt>
                <c:pt idx="22">
                  <c:v>422.8041205017044</c:v>
                </c:pt>
                <c:pt idx="23">
                  <c:v>471.5636357961563</c:v>
                </c:pt>
              </c:numCache>
            </c:numRef>
          </c:val>
        </c:ser>
        <c:ser>
          <c:idx val="1"/>
          <c:order val="1"/>
          <c:tx>
            <c:v>Инфра (серверы)</c:v>
          </c:tx>
          <c:spPr>
            <a:ln w="31750">
              <a:solidFill>
                <a:srgbClr val="E85D04"/>
              </a:solidFill>
            </a:ln>
          </c:spPr>
          <c:marker>
            <c:symbol val="none"/>
          </c:marker>
          <c:cat>
            <c:numRef>
              <c:f>PnL!$B$3:$Y$3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PnL!$B$15:$Y$15</c:f>
              <c:numCache>
                <c:formatCode>General</c:formatCode>
                <c:ptCount val="24"/>
                <c:pt idx="0">
                  <c:v>3800.0</c:v>
                </c:pt>
                <c:pt idx="1">
                  <c:v>3800.0</c:v>
                </c:pt>
                <c:pt idx="2">
                  <c:v>3800.0</c:v>
                </c:pt>
                <c:pt idx="3">
                  <c:v>3800.0</c:v>
                </c:pt>
                <c:pt idx="4">
                  <c:v>14800.0</c:v>
                </c:pt>
                <c:pt idx="5">
                  <c:v>14800.0</c:v>
                </c:pt>
                <c:pt idx="6">
                  <c:v>14800.0</c:v>
                </c:pt>
                <c:pt idx="7">
                  <c:v>14800.0</c:v>
                </c:pt>
                <c:pt idx="8">
                  <c:v>14800.0</c:v>
                </c:pt>
                <c:pt idx="9">
                  <c:v>14800.0</c:v>
                </c:pt>
                <c:pt idx="10">
                  <c:v>14800.0</c:v>
                </c:pt>
                <c:pt idx="11">
                  <c:v>14800.0</c:v>
                </c:pt>
                <c:pt idx="12">
                  <c:v>34800.0</c:v>
                </c:pt>
                <c:pt idx="13">
                  <c:v>34800.0</c:v>
                </c:pt>
                <c:pt idx="14">
                  <c:v>34800.0</c:v>
                </c:pt>
                <c:pt idx="15">
                  <c:v>34800.0</c:v>
                </c:pt>
                <c:pt idx="16">
                  <c:v>34800.0</c:v>
                </c:pt>
                <c:pt idx="17">
                  <c:v>34800.0</c:v>
                </c:pt>
                <c:pt idx="18">
                  <c:v>34800.0</c:v>
                </c:pt>
                <c:pt idx="19">
                  <c:v>34800.0</c:v>
                </c:pt>
                <c:pt idx="20">
                  <c:v>34800.0</c:v>
                </c:pt>
                <c:pt idx="21">
                  <c:v>34800.0</c:v>
                </c:pt>
                <c:pt idx="22">
                  <c:v>34800.0</c:v>
                </c:pt>
                <c:pt idx="23">
                  <c:v>34800.0</c:v>
                </c:pt>
              </c:numCache>
            </c:numRef>
          </c:val>
        </c:ser>
        <c:ser>
          <c:idx val="2"/>
          <c:order val="2"/>
          <c:tx>
            <c:v>GM после LLM</c:v>
          </c:tx>
          <c:spPr>
            <a:ln w="31750">
              <a:solidFill>
                <a:srgbClr val="2A9D8F"/>
              </a:solidFill>
            </a:ln>
          </c:spPr>
          <c:marker>
            <c:symbol val="none"/>
          </c:marker>
          <c:cat>
            <c:numRef>
              <c:f>PnL!$B$3:$Y$3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PnL!$B$20:$Y$20</c:f>
              <c:numCache>
                <c:formatCode>General</c:formatCode>
                <c:ptCount val="24"/>
                <c:pt idx="0">
                  <c:v>5755.034756720001</c:v>
                </c:pt>
                <c:pt idx="1">
                  <c:v>9165.140558843203</c:v>
                </c:pt>
                <c:pt idx="2">
                  <c:v>12551.214914542174</c:v>
                </c:pt>
                <c:pt idx="3">
                  <c:v>17017.448698806762</c:v>
                </c:pt>
                <c:pt idx="4">
                  <c:v>21842.221212711935</c:v>
                </c:pt>
                <c:pt idx="5">
                  <c:v>27079.201663282816</c:v>
                </c:pt>
                <c:pt idx="6">
                  <c:v>32787.86088881948</c:v>
                </c:pt>
                <c:pt idx="7">
                  <c:v>39034.205875063984</c:v>
                </c:pt>
                <c:pt idx="8">
                  <c:v>45891.600114082656</c:v>
                </c:pt>
                <c:pt idx="9">
                  <c:v>53441.680244942916</c:v>
                </c:pt>
                <c:pt idx="10">
                  <c:v>61775.38065967618</c:v>
                </c:pt>
                <c:pt idx="11">
                  <c:v>70994.079152257</c:v>
                </c:pt>
                <c:pt idx="12">
                  <c:v>149460.8782503424</c:v>
                </c:pt>
                <c:pt idx="13">
                  <c:v>160802.03861940914</c:v>
                </c:pt>
                <c:pt idx="14">
                  <c:v>173408.58288922237</c:v>
                </c:pt>
                <c:pt idx="15">
                  <c:v>187438.09044848417</c:v>
                </c:pt>
                <c:pt idx="16">
                  <c:v>203066.706213304</c:v>
                </c:pt>
                <c:pt idx="17">
                  <c:v>220491.38913044214</c:v>
                </c:pt>
                <c:pt idx="18">
                  <c:v>239932.4292625444</c:v>
                </c:pt>
                <c:pt idx="19">
                  <c:v>261636.2657595119</c:v>
                </c:pt>
                <c:pt idx="20">
                  <c:v>285878.6418921879</c:v>
                </c:pt>
                <c:pt idx="21">
                  <c:v>312968.1376614929</c:v>
                </c:pt>
                <c:pt idx="22">
                  <c:v>343250.12535377993</c:v>
                </c:pt>
                <c:pt idx="23">
                  <c:v>377111.19885396684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5</xdr:col>
      <xdr:colOff>190500</xdr:colOff>
      <xdr:row>46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11</xdr:col>
      <xdr:colOff>152400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152400</xdr:colOff>
      <xdr:row>19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11</xdr:col>
      <xdr:colOff>152400</xdr:colOff>
      <xdr:row>38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23</xdr:col>
      <xdr:colOff>152400</xdr:colOff>
      <xdr:row>38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11</xdr:col>
      <xdr:colOff>152400</xdr:colOff>
      <xdr:row>56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cols>
    <col min="1" max="1" width="100.7109375" customWidth="1"/>
  </cols>
  <sheetData>
    <row r="1" spans="1: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28.7109375" customWidth="1"/>
    <col min="2" max="2" width="88.7109375" customWidth="1"/>
  </cols>
  <sheetData>
    <row r="1" spans="1:2">
      <c r="A1" s="1" t="s">
        <v>7</v>
      </c>
    </row>
    <row r="2" spans="1:2">
      <c r="A2" s="2" t="s">
        <v>8</v>
      </c>
    </row>
    <row r="4" spans="1:2">
      <c r="A4" t="s">
        <v>9</v>
      </c>
      <c r="B4" t="s">
        <v>10</v>
      </c>
    </row>
    <row r="5" spans="1:2">
      <c r="A5" t="s">
        <v>11</v>
      </c>
      <c r="B5" t="s">
        <v>12</v>
      </c>
    </row>
    <row r="6" spans="1:2">
      <c r="A6" t="s">
        <v>13</v>
      </c>
      <c r="B6" t="s">
        <v>14</v>
      </c>
    </row>
    <row r="7" spans="1:2">
      <c r="A7" t="s">
        <v>15</v>
      </c>
      <c r="B7" t="s">
        <v>16</v>
      </c>
    </row>
    <row r="8" spans="1:2">
      <c r="A8" t="s">
        <v>17</v>
      </c>
      <c r="B8" t="s">
        <v>18</v>
      </c>
    </row>
    <row r="9" spans="1:2">
      <c r="A9" t="s">
        <v>19</v>
      </c>
      <c r="B9" t="s">
        <v>20</v>
      </c>
    </row>
    <row r="10" spans="1:2">
      <c r="A10" t="s">
        <v>21</v>
      </c>
      <c r="B10" t="s">
        <v>22</v>
      </c>
    </row>
    <row r="11" spans="1:2">
      <c r="A11" t="s">
        <v>23</v>
      </c>
      <c r="B11" t="s">
        <v>24</v>
      </c>
    </row>
    <row r="12" spans="1:2">
      <c r="A12" t="s">
        <v>25</v>
      </c>
      <c r="B12" t="s">
        <v>26</v>
      </c>
    </row>
    <row r="13" spans="1:2">
      <c r="A13" t="s">
        <v>27</v>
      </c>
      <c r="B13" t="s">
        <v>28</v>
      </c>
    </row>
    <row r="14" spans="1:2">
      <c r="A14" t="s">
        <v>29</v>
      </c>
      <c r="B14" t="s">
        <v>30</v>
      </c>
    </row>
    <row r="15" spans="1:2">
      <c r="A15" t="s">
        <v>31</v>
      </c>
      <c r="B15" t="s">
        <v>32</v>
      </c>
    </row>
    <row r="16" spans="1:2">
      <c r="A16" t="s">
        <v>33</v>
      </c>
      <c r="B16" t="s">
        <v>34</v>
      </c>
    </row>
    <row r="17" spans="1:2">
      <c r="A17" t="s">
        <v>35</v>
      </c>
      <c r="B17" t="s">
        <v>36</v>
      </c>
    </row>
    <row r="18" spans="1:2">
      <c r="A18" t="s">
        <v>37</v>
      </c>
      <c r="B18" t="s">
        <v>38</v>
      </c>
    </row>
    <row r="19" spans="1:2">
      <c r="A19" t="s">
        <v>39</v>
      </c>
      <c r="B19" t="s">
        <v>40</v>
      </c>
    </row>
    <row r="20" spans="1:2">
      <c r="A20" t="s">
        <v>41</v>
      </c>
      <c r="B20" t="s">
        <v>42</v>
      </c>
    </row>
    <row r="21" spans="1:2">
      <c r="A21" t="s">
        <v>43</v>
      </c>
      <c r="B21" t="s">
        <v>44</v>
      </c>
    </row>
    <row r="22" spans="1:2">
      <c r="A22" t="s">
        <v>45</v>
      </c>
      <c r="B22" t="s">
        <v>46</v>
      </c>
    </row>
    <row r="23" spans="1:2">
      <c r="A23" t="s">
        <v>47</v>
      </c>
      <c r="B2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cols>
    <col min="1" max="1" width="36.7109375" customWidth="1"/>
    <col min="2" max="2" width="78.7109375" customWidth="1"/>
  </cols>
  <sheetData>
    <row r="1" spans="1:2">
      <c r="A1" s="1" t="s">
        <v>49</v>
      </c>
    </row>
    <row r="3" spans="1:2">
      <c r="A3" s="3" t="s">
        <v>50</v>
      </c>
    </row>
    <row r="4" spans="1:2">
      <c r="A4" t="s">
        <v>51</v>
      </c>
      <c r="B4" t="s">
        <v>52</v>
      </c>
    </row>
    <row r="5" spans="1:2">
      <c r="A5" t="s">
        <v>53</v>
      </c>
      <c r="B5" t="s">
        <v>54</v>
      </c>
    </row>
    <row r="6" spans="1:2">
      <c r="A6" t="s">
        <v>55</v>
      </c>
      <c r="B6" t="s">
        <v>56</v>
      </c>
    </row>
    <row r="7" spans="1:2">
      <c r="A7" t="s">
        <v>57</v>
      </c>
      <c r="B7" t="s">
        <v>58</v>
      </c>
    </row>
    <row r="8" spans="1:2">
      <c r="A8" t="s">
        <v>59</v>
      </c>
      <c r="B8" t="s">
        <v>60</v>
      </c>
    </row>
    <row r="9" spans="1:2">
      <c r="A9" t="s">
        <v>61</v>
      </c>
      <c r="B9" t="s">
        <v>62</v>
      </c>
    </row>
    <row r="10" spans="1:2">
      <c r="A10" t="s">
        <v>63</v>
      </c>
      <c r="B10" t="s">
        <v>64</v>
      </c>
    </row>
    <row r="12" spans="1:2">
      <c r="A12" s="3" t="s">
        <v>65</v>
      </c>
    </row>
    <row r="13" spans="1:2">
      <c r="A13" t="s">
        <v>66</v>
      </c>
      <c r="B13" t="s">
        <v>67</v>
      </c>
    </row>
    <row r="14" spans="1:2">
      <c r="A14" t="s">
        <v>68</v>
      </c>
      <c r="B14" t="s">
        <v>69</v>
      </c>
    </row>
    <row r="15" spans="1:2">
      <c r="A15" t="s">
        <v>70</v>
      </c>
      <c r="B15" t="s">
        <v>71</v>
      </c>
    </row>
    <row r="16" spans="1:2">
      <c r="A16" t="s">
        <v>72</v>
      </c>
      <c r="B16" t="s">
        <v>73</v>
      </c>
    </row>
    <row r="18" spans="1:4">
      <c r="A18" s="3" t="s">
        <v>74</v>
      </c>
    </row>
    <row r="19" spans="1:4">
      <c r="A19" s="4" t="s">
        <v>75</v>
      </c>
      <c r="B19" s="4" t="s">
        <v>76</v>
      </c>
      <c r="C19" s="4" t="s">
        <v>77</v>
      </c>
      <c r="D19" s="4" t="s">
        <v>78</v>
      </c>
    </row>
    <row r="20" spans="1:4">
      <c r="A20" t="s">
        <v>79</v>
      </c>
      <c r="B20" t="s">
        <v>80</v>
      </c>
      <c r="C20" t="s">
        <v>81</v>
      </c>
      <c r="D20" t="s">
        <v>82</v>
      </c>
    </row>
    <row r="21" spans="1:4">
      <c r="A21" t="s">
        <v>83</v>
      </c>
      <c r="B21" t="s">
        <v>84</v>
      </c>
      <c r="C21" t="s">
        <v>85</v>
      </c>
      <c r="D21" t="s">
        <v>86</v>
      </c>
    </row>
    <row r="22" spans="1:4">
      <c r="A22" t="s">
        <v>87</v>
      </c>
      <c r="B22" t="s">
        <v>88</v>
      </c>
      <c r="C22" t="s">
        <v>89</v>
      </c>
      <c r="D22" t="s">
        <v>90</v>
      </c>
    </row>
    <row r="23" spans="1:4">
      <c r="A23" t="s">
        <v>91</v>
      </c>
      <c r="B23" t="s">
        <v>92</v>
      </c>
      <c r="C23" t="s">
        <v>93</v>
      </c>
      <c r="D23" t="s">
        <v>94</v>
      </c>
    </row>
    <row r="24" spans="1:4">
      <c r="A24" t="s">
        <v>95</v>
      </c>
      <c r="B24" t="s">
        <v>96</v>
      </c>
      <c r="C24" t="s">
        <v>97</v>
      </c>
      <c r="D24" t="s">
        <v>80</v>
      </c>
    </row>
    <row r="25" spans="1:4">
      <c r="A25" t="s">
        <v>98</v>
      </c>
      <c r="B25" t="s">
        <v>99</v>
      </c>
    </row>
    <row r="27" spans="1:4">
      <c r="A27" s="3" t="s">
        <v>100</v>
      </c>
    </row>
    <row r="28" spans="1:4">
      <c r="A28" t="s">
        <v>101</v>
      </c>
      <c r="B28" s="5">
        <v>0.00335475</v>
      </c>
    </row>
    <row r="29" spans="1:4">
      <c r="A29" t="s">
        <v>102</v>
      </c>
      <c r="B29" s="5">
        <v>0.2567968199999999</v>
      </c>
    </row>
    <row r="30" spans="1:4">
      <c r="A30" t="s">
        <v>103</v>
      </c>
      <c r="B30" s="5">
        <v>989.9999999999999</v>
      </c>
    </row>
    <row r="31" spans="1:4">
      <c r="A31" t="s">
        <v>104</v>
      </c>
      <c r="B31" s="5">
        <v>2990</v>
      </c>
    </row>
    <row r="32" spans="1:4">
      <c r="A32" t="s">
        <v>105</v>
      </c>
      <c r="B32" s="5">
        <v>989.7432031799999</v>
      </c>
    </row>
    <row r="33" spans="1:2">
      <c r="A33" t="s">
        <v>106</v>
      </c>
      <c r="B33" t="s">
        <v>107</v>
      </c>
    </row>
    <row r="35" spans="1:2">
      <c r="A35" t="s">
        <v>108</v>
      </c>
      <c r="B35" t="s">
        <v>109</v>
      </c>
    </row>
    <row r="36" spans="1:2">
      <c r="A36" t="s">
        <v>110</v>
      </c>
      <c r="B36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FormatPr defaultRowHeight="15"/>
  <cols>
    <col min="1" max="1" width="48.7109375" customWidth="1"/>
    <col min="2" max="2" width="14.7109375" customWidth="1"/>
    <col min="4" max="4" width="56.7109375" customWidth="1"/>
  </cols>
  <sheetData>
    <row r="1" spans="1:4">
      <c r="A1" s="1" t="s">
        <v>112</v>
      </c>
    </row>
    <row r="4" spans="1:4">
      <c r="A4" s="3" t="s">
        <v>113</v>
      </c>
    </row>
    <row r="5" spans="1:4">
      <c r="A5" t="s">
        <v>114</v>
      </c>
      <c r="B5" s="6">
        <v>90</v>
      </c>
    </row>
    <row r="6" spans="1:4">
      <c r="A6" t="s">
        <v>115</v>
      </c>
      <c r="B6" s="7">
        <v>0.03</v>
      </c>
    </row>
    <row r="7" spans="1:4">
      <c r="A7" t="s">
        <v>116</v>
      </c>
      <c r="B7" s="7">
        <v>0.06</v>
      </c>
    </row>
    <row r="9" spans="1:4">
      <c r="A9" s="3" t="s">
        <v>117</v>
      </c>
    </row>
    <row r="10" spans="1:4">
      <c r="A10" t="s">
        <v>118</v>
      </c>
      <c r="B10" s="6">
        <v>0</v>
      </c>
    </row>
    <row r="11" spans="1:4">
      <c r="A11" t="s">
        <v>119</v>
      </c>
      <c r="B11" s="6">
        <v>490</v>
      </c>
      <c r="D11" s="2" t="s">
        <v>120</v>
      </c>
    </row>
    <row r="12" spans="1:4">
      <c r="A12" t="s">
        <v>121</v>
      </c>
      <c r="B12" s="6">
        <v>990</v>
      </c>
      <c r="D12" s="2" t="s">
        <v>122</v>
      </c>
    </row>
    <row r="13" spans="1:4">
      <c r="A13" t="s">
        <v>123</v>
      </c>
      <c r="B13" s="6">
        <v>1990</v>
      </c>
      <c r="D13" s="2" t="s">
        <v>124</v>
      </c>
    </row>
    <row r="14" spans="1:4">
      <c r="A14" t="s">
        <v>125</v>
      </c>
      <c r="B14" s="6">
        <v>2990</v>
      </c>
      <c r="D14" s="2" t="s">
        <v>126</v>
      </c>
    </row>
    <row r="15" spans="1:4">
      <c r="A15" t="s">
        <v>127</v>
      </c>
      <c r="B15" s="7">
        <v>0.3</v>
      </c>
    </row>
    <row r="17" spans="1:4">
      <c r="A17" s="3" t="s">
        <v>128</v>
      </c>
    </row>
    <row r="18" spans="1:4">
      <c r="A18" t="s">
        <v>129</v>
      </c>
      <c r="B18" s="7">
        <v>0.96</v>
      </c>
    </row>
    <row r="19" spans="1:4">
      <c r="A19" t="s">
        <v>130</v>
      </c>
      <c r="B19" s="7">
        <v>0.008</v>
      </c>
      <c r="D19" s="2" t="s">
        <v>131</v>
      </c>
    </row>
    <row r="20" spans="1:4">
      <c r="A20" t="s">
        <v>132</v>
      </c>
      <c r="B20" s="7">
        <v>0.028</v>
      </c>
      <c r="D20" s="2" t="s">
        <v>133</v>
      </c>
    </row>
    <row r="21" spans="1:4">
      <c r="A21" t="s">
        <v>134</v>
      </c>
      <c r="B21" s="7">
        <v>0.004</v>
      </c>
      <c r="D21" s="2" t="s">
        <v>135</v>
      </c>
    </row>
    <row r="23" spans="1:4">
      <c r="A23" s="3" t="s">
        <v>136</v>
      </c>
    </row>
    <row r="24" spans="1:4">
      <c r="A24" t="s">
        <v>137</v>
      </c>
      <c r="B24" s="8">
        <v>0</v>
      </c>
      <c r="D24" s="2" t="s">
        <v>138</v>
      </c>
    </row>
    <row r="25" spans="1:4">
      <c r="A25" t="s">
        <v>139</v>
      </c>
      <c r="B25" s="8">
        <v>100</v>
      </c>
      <c r="D25" s="2" t="s">
        <v>140</v>
      </c>
    </row>
    <row r="26" spans="1:4">
      <c r="A26" t="s">
        <v>141</v>
      </c>
      <c r="B26" s="7">
        <v>0.12</v>
      </c>
    </row>
    <row r="27" spans="1:4">
      <c r="A27" t="s">
        <v>142</v>
      </c>
      <c r="B27" s="7">
        <v>0.06</v>
      </c>
    </row>
    <row r="28" spans="1:4">
      <c r="A28" t="s">
        <v>143</v>
      </c>
      <c r="B28" s="8">
        <v>0</v>
      </c>
      <c r="D28" s="2" t="s">
        <v>144</v>
      </c>
    </row>
    <row r="29" spans="1:4">
      <c r="A29" t="s">
        <v>145</v>
      </c>
      <c r="B29" s="6">
        <v>1</v>
      </c>
    </row>
    <row r="30" spans="1:4">
      <c r="A30" t="s">
        <v>146</v>
      </c>
      <c r="B30" s="7">
        <v>0.25</v>
      </c>
      <c r="D30" s="2" t="s">
        <v>147</v>
      </c>
    </row>
    <row r="31" spans="1:4">
      <c r="A31" t="s">
        <v>148</v>
      </c>
      <c r="B31" s="7">
        <v>0.15</v>
      </c>
      <c r="D31" s="2" t="s">
        <v>149</v>
      </c>
    </row>
    <row r="33" spans="1:2">
      <c r="A33" s="3" t="s">
        <v>150</v>
      </c>
    </row>
    <row r="34" spans="1:2">
      <c r="A34" t="s">
        <v>151</v>
      </c>
      <c r="B34" s="6">
        <v>0.15</v>
      </c>
    </row>
    <row r="35" spans="1:2">
      <c r="A35" t="s">
        <v>152</v>
      </c>
      <c r="B35" s="6">
        <v>0.5</v>
      </c>
    </row>
    <row r="36" spans="1:2">
      <c r="A36" t="s">
        <v>153</v>
      </c>
      <c r="B36" s="6">
        <v>0.03</v>
      </c>
    </row>
    <row r="37" spans="1:2">
      <c r="A37" t="s">
        <v>154</v>
      </c>
      <c r="B37" s="7">
        <v>0.7</v>
      </c>
    </row>
    <row r="38" spans="1:2">
      <c r="A38" t="s">
        <v>155</v>
      </c>
      <c r="B38" s="7">
        <v>0.35</v>
      </c>
    </row>
    <row r="39" spans="1:2">
      <c r="A39" t="s">
        <v>156</v>
      </c>
      <c r="B39" s="8">
        <v>450</v>
      </c>
    </row>
    <row r="40" spans="1:2">
      <c r="A40" t="s">
        <v>157</v>
      </c>
      <c r="B40" s="8">
        <v>40</v>
      </c>
    </row>
    <row r="41" spans="1:2">
      <c r="A41" t="s">
        <v>158</v>
      </c>
      <c r="B41" s="8">
        <v>1800</v>
      </c>
    </row>
    <row r="42" spans="1:2">
      <c r="A42" t="s">
        <v>159</v>
      </c>
      <c r="B42" s="8">
        <v>280</v>
      </c>
    </row>
    <row r="43" spans="1:2">
      <c r="A43" t="s">
        <v>160</v>
      </c>
      <c r="B43" s="8">
        <v>2200</v>
      </c>
    </row>
    <row r="44" spans="1:2">
      <c r="A44" t="s">
        <v>161</v>
      </c>
      <c r="B44" s="8">
        <v>500</v>
      </c>
    </row>
    <row r="45" spans="1:2">
      <c r="A45" t="s">
        <v>162</v>
      </c>
      <c r="B45" s="8">
        <v>500</v>
      </c>
    </row>
    <row r="46" spans="1:2">
      <c r="A46" t="s">
        <v>163</v>
      </c>
      <c r="B46" s="8">
        <v>60</v>
      </c>
    </row>
    <row r="47" spans="1:2">
      <c r="A47" t="s">
        <v>164</v>
      </c>
      <c r="B47" s="8">
        <v>10</v>
      </c>
    </row>
    <row r="48" spans="1:2">
      <c r="A48" t="s">
        <v>165</v>
      </c>
      <c r="B48" s="8">
        <v>2</v>
      </c>
    </row>
    <row r="49" spans="1:2">
      <c r="A49" t="s">
        <v>166</v>
      </c>
      <c r="B49" s="8">
        <v>0</v>
      </c>
    </row>
    <row r="50" spans="1:2">
      <c r="A50" t="s">
        <v>167</v>
      </c>
      <c r="B50" s="8">
        <v>40</v>
      </c>
    </row>
    <row r="51" spans="1:2">
      <c r="A51" t="s">
        <v>168</v>
      </c>
      <c r="B51" s="8">
        <v>20</v>
      </c>
    </row>
    <row r="52" spans="1:2">
      <c r="A52" t="s">
        <v>169</v>
      </c>
      <c r="B52" s="8">
        <v>4</v>
      </c>
    </row>
    <row r="53" spans="1:2">
      <c r="A53" t="s">
        <v>170</v>
      </c>
      <c r="B53" s="8">
        <v>80</v>
      </c>
    </row>
    <row r="54" spans="1:2">
      <c r="A54" t="s">
        <v>171</v>
      </c>
      <c r="B54" s="8">
        <v>40</v>
      </c>
    </row>
    <row r="55" spans="1:2">
      <c r="A55" t="s">
        <v>172</v>
      </c>
      <c r="B55" s="8">
        <v>10</v>
      </c>
    </row>
    <row r="56" spans="1:2">
      <c r="A56" t="s">
        <v>173</v>
      </c>
      <c r="B56" s="8">
        <v>800</v>
      </c>
    </row>
    <row r="57" spans="1:2">
      <c r="A57" t="s">
        <v>174</v>
      </c>
      <c r="B57" s="8">
        <v>30</v>
      </c>
    </row>
    <row r="58" spans="1:2">
      <c r="A58" t="s">
        <v>175</v>
      </c>
      <c r="B58" s="7">
        <v>0.2</v>
      </c>
    </row>
    <row r="59" spans="1:2">
      <c r="A59" t="s">
        <v>176</v>
      </c>
      <c r="B59" s="6">
        <v>40</v>
      </c>
    </row>
    <row r="60" spans="1:2">
      <c r="A60" t="s">
        <v>177</v>
      </c>
      <c r="B60" s="7">
        <v>0.25</v>
      </c>
    </row>
    <row r="61" spans="1:2">
      <c r="A61" t="s">
        <v>178</v>
      </c>
      <c r="B61" s="8">
        <v>3</v>
      </c>
    </row>
    <row r="62" spans="1:2">
      <c r="A62" t="s">
        <v>179</v>
      </c>
      <c r="B62" s="6">
        <v>4200</v>
      </c>
    </row>
    <row r="63" spans="1:2">
      <c r="A63" t="s">
        <v>180</v>
      </c>
      <c r="B63" s="6">
        <v>10000</v>
      </c>
    </row>
    <row r="65" spans="1:4">
      <c r="A65" s="3" t="s">
        <v>181</v>
      </c>
    </row>
    <row r="66" spans="1:4">
      <c r="A66" t="s">
        <v>182</v>
      </c>
      <c r="B66" s="6">
        <v>2300</v>
      </c>
      <c r="D66" s="2" t="s">
        <v>183</v>
      </c>
    </row>
    <row r="67" spans="1:4">
      <c r="A67" t="s">
        <v>184</v>
      </c>
      <c r="B67" s="6">
        <v>3800</v>
      </c>
      <c r="D67" s="2" t="s">
        <v>185</v>
      </c>
    </row>
    <row r="68" spans="1:4">
      <c r="A68" t="s">
        <v>186</v>
      </c>
      <c r="B68" s="8">
        <v>500</v>
      </c>
    </row>
    <row r="69" spans="1:4">
      <c r="A69" t="s">
        <v>187</v>
      </c>
      <c r="B69" s="6">
        <v>14800</v>
      </c>
    </row>
    <row r="70" spans="1:4">
      <c r="A70" t="s">
        <v>188</v>
      </c>
      <c r="B70" s="8">
        <v>2000</v>
      </c>
    </row>
    <row r="71" spans="1:4">
      <c r="A71" t="s">
        <v>189</v>
      </c>
      <c r="B71" s="6">
        <v>34800</v>
      </c>
    </row>
    <row r="73" spans="1:4">
      <c r="A73" s="3" t="s">
        <v>190</v>
      </c>
    </row>
    <row r="74" spans="1:4">
      <c r="A74" t="s">
        <v>191</v>
      </c>
      <c r="B74" s="6">
        <v>500</v>
      </c>
    </row>
    <row r="75" spans="1:4">
      <c r="A75" t="s">
        <v>192</v>
      </c>
      <c r="B75" s="6">
        <v>2000</v>
      </c>
    </row>
    <row r="76" spans="1:4">
      <c r="A76" t="s">
        <v>193</v>
      </c>
      <c r="B76" s="6">
        <v>400</v>
      </c>
      <c r="D76" s="2" t="s">
        <v>194</v>
      </c>
    </row>
    <row r="77" spans="1:4">
      <c r="A77" t="s">
        <v>195</v>
      </c>
      <c r="B77" s="6">
        <v>1800</v>
      </c>
      <c r="D77" s="2" t="s">
        <v>196</v>
      </c>
    </row>
    <row r="78" spans="1:4">
      <c r="A78" t="s">
        <v>197</v>
      </c>
      <c r="B78" s="7">
        <v>0.25</v>
      </c>
    </row>
    <row r="79" spans="1:4">
      <c r="A79" t="s">
        <v>198</v>
      </c>
      <c r="B79" s="6">
        <v>50000</v>
      </c>
    </row>
    <row r="80" spans="1:4">
      <c r="A80" t="s">
        <v>199</v>
      </c>
      <c r="B80" s="7">
        <v>0.5</v>
      </c>
    </row>
    <row r="82" spans="1:4">
      <c r="A82" s="3" t="s">
        <v>200</v>
      </c>
    </row>
    <row r="83" spans="1:4">
      <c r="A83" t="s">
        <v>201</v>
      </c>
      <c r="B83" s="6">
        <v>25000</v>
      </c>
    </row>
    <row r="84" spans="1:4">
      <c r="A84" t="s">
        <v>202</v>
      </c>
      <c r="B84" s="8">
        <v>6</v>
      </c>
    </row>
    <row r="85" spans="1:4">
      <c r="A85" t="s">
        <v>203</v>
      </c>
      <c r="B85" s="6">
        <v>500</v>
      </c>
      <c r="D85" s="2" t="s">
        <v>204</v>
      </c>
    </row>
    <row r="86" spans="1:4">
      <c r="A86" t="s">
        <v>205</v>
      </c>
      <c r="B86" s="8">
        <v>3</v>
      </c>
    </row>
    <row r="88" spans="1:4">
      <c r="A88" s="3" t="s">
        <v>206</v>
      </c>
    </row>
    <row r="89" spans="1:4">
      <c r="A89" t="s">
        <v>207</v>
      </c>
      <c r="B89" s="6">
        <v>300000</v>
      </c>
      <c r="D89" s="2" t="s">
        <v>208</v>
      </c>
    </row>
    <row r="90" spans="1:4">
      <c r="A90" t="s">
        <v>209</v>
      </c>
      <c r="B90" s="6">
        <v>60000</v>
      </c>
      <c r="D90" s="2" t="s">
        <v>210</v>
      </c>
    </row>
    <row r="91" spans="1:4">
      <c r="A91" t="s">
        <v>211</v>
      </c>
      <c r="B91" s="6">
        <v>40000</v>
      </c>
      <c r="D91" s="2" t="s">
        <v>212</v>
      </c>
    </row>
    <row r="92" spans="1:4">
      <c r="A92" t="s">
        <v>213</v>
      </c>
      <c r="B92" s="6">
        <v>30000</v>
      </c>
    </row>
    <row r="93" spans="1:4">
      <c r="A93" t="s">
        <v>214</v>
      </c>
      <c r="B93" s="6">
        <v>1000</v>
      </c>
      <c r="D93" s="2" t="s">
        <v>215</v>
      </c>
    </row>
    <row r="94" spans="1:4">
      <c r="A94" t="s">
        <v>216</v>
      </c>
      <c r="B94" s="6">
        <v>4000</v>
      </c>
    </row>
    <row r="95" spans="1:4">
      <c r="A95" t="s">
        <v>217</v>
      </c>
      <c r="B95" s="8">
        <v>60</v>
      </c>
    </row>
    <row r="97" spans="1:4">
      <c r="A97" s="3" t="s">
        <v>218</v>
      </c>
    </row>
    <row r="98" spans="1:4">
      <c r="A98" t="s">
        <v>219</v>
      </c>
      <c r="B98" s="8">
        <v>3</v>
      </c>
      <c r="D98" s="2" t="s">
        <v>220</v>
      </c>
    </row>
    <row r="99" spans="1:4">
      <c r="A99" t="s">
        <v>221</v>
      </c>
      <c r="B99" s="7">
        <v>0.25</v>
      </c>
    </row>
    <row r="102" spans="1:4">
      <c r="A102" s="3" t="s">
        <v>222</v>
      </c>
    </row>
    <row r="103" spans="1:4">
      <c r="A103" t="s">
        <v>223</v>
      </c>
      <c r="B103" s="9">
        <f>((Inputs!$B$39/1000000)*((1-Inputs!$B$37)*Inputs!$B$34+Inputs!$B$37*Inputs!$B$36)+(Inputs!$B$40/1000000)*Inputs!$B$35)*Inputs!$B$5</f>
        <v>0.004473</v>
      </c>
    </row>
    <row r="104" spans="1:4">
      <c r="A104" t="s">
        <v>224</v>
      </c>
      <c r="B104" s="9">
        <f>((Inputs!$B$41/1000000)*((1-Inputs!$B$37)*Inputs!$B$34+Inputs!$B$37*Inputs!$B$36)+(Inputs!$B$42/1000000)*Inputs!$B$35)*Inputs!$B$5</f>
        <v>0.023292</v>
      </c>
    </row>
    <row r="105" spans="1:4">
      <c r="A105" t="s">
        <v>225</v>
      </c>
      <c r="B105" s="9">
        <f>((Inputs!$B$43/1000000)*((1-Inputs!$B$37)*Inputs!$B$34+Inputs!$B$37*Inputs!$B$36)+(Inputs!$B$44/1000000)*Inputs!$B$35)*Inputs!$B$5</f>
        <v>0.035568</v>
      </c>
    </row>
    <row r="106" spans="1:4">
      <c r="A106" t="s">
        <v>226</v>
      </c>
      <c r="B106" s="9">
        <f>((Inputs!$B$45/1000000)*((1-Inputs!$B$37)*Inputs!$B$34+Inputs!$B$37*Inputs!$B$36)+(Inputs!$B$46/1000000)*Inputs!$B$35)*Inputs!$B$5</f>
        <v>0.00567</v>
      </c>
    </row>
    <row r="107" spans="1:4">
      <c r="A107" t="s">
        <v>101</v>
      </c>
      <c r="B107" s="9">
        <f>(Inputs!$B$98*Inputs!$B$103+0*Inputs!$B$104+0*Inputs!$B$105)*Inputs!$B$99</f>
        <v>0.00335475</v>
      </c>
    </row>
    <row r="108" spans="1:4">
      <c r="A108" t="s">
        <v>227</v>
      </c>
      <c r="B108" s="9">
        <f>(Inputs!$B$47*Inputs!$B$103+Inputs!$B$48*Inputs!$B$104+Inputs!$B$49*Inputs!$B$105)*Inputs!$B$38</f>
        <v>0.0319599</v>
      </c>
    </row>
    <row r="109" spans="1:4">
      <c r="A109" t="s">
        <v>228</v>
      </c>
      <c r="B109" s="9">
        <f>(Inputs!$B$50*Inputs!$B$103+Inputs!$B$51*Inputs!$B$104+Inputs!$B$52*Inputs!$B$105)*Inputs!$B$38</f>
        <v>0.27546119999999996</v>
      </c>
    </row>
    <row r="110" spans="1:4">
      <c r="A110" t="s">
        <v>229</v>
      </c>
      <c r="B110" s="9">
        <f>(Inputs!$B$53*Inputs!$B$103+Inputs!$B$54*Inputs!$B$104+Inputs!$B$55*Inputs!$B$105)*Inputs!$B$38</f>
        <v>0.57582</v>
      </c>
    </row>
    <row r="111" spans="1:4">
      <c r="A111" t="s">
        <v>230</v>
      </c>
      <c r="B111" s="9">
        <f>Inputs!$B$56*Inputs!$B$57*Inputs!$B$58*Inputs!$B$106</f>
        <v>27.215999999999998</v>
      </c>
    </row>
    <row r="112" spans="1:4">
      <c r="A112" t="s">
        <v>231</v>
      </c>
      <c r="B112" s="10">
        <f>Inputs!$B$19+Inputs!$B$20+Inputs!$B$21</f>
        <v>0.04000000000000001</v>
      </c>
    </row>
    <row r="113" spans="1:2">
      <c r="A113" t="s">
        <v>232</v>
      </c>
      <c r="B113" s="9">
        <f>Inputs!$B$18*Inputs!$B$10+Inputs!$B$19*Inputs!$B$11+Inputs!$B$20*Inputs!$B$12+Inputs!$B$21*Inputs!$B$13</f>
        <v>39.6</v>
      </c>
    </row>
    <row r="114" spans="1:2">
      <c r="A114" t="s">
        <v>233</v>
      </c>
      <c r="B114" s="9">
        <f>IF(Inputs!$B$112=0,0,(Inputs!$B$19*Inputs!$B$11+Inputs!$B$20*Inputs!$B$12+Inputs!$B$21*Inputs!$B$13)/Inputs!$B$112)</f>
        <v>989.9999999999999</v>
      </c>
    </row>
    <row r="115" spans="1:2">
      <c r="A115" t="s">
        <v>234</v>
      </c>
      <c r="B115" s="9">
        <f>Inputs!$B$18*Inputs!$B$107+Inputs!$B$19*Inputs!$B$108+Inputs!$B$20*Inputs!$B$109+Inputs!$B$21*Inputs!$B$110</f>
        <v>0.013492432799999999</v>
      </c>
    </row>
    <row r="116" spans="1:2">
      <c r="A116" t="s">
        <v>102</v>
      </c>
      <c r="B116" s="9">
        <f>IF(Inputs!$B$112=0,0,(Inputs!$B$19*Inputs!$B$108+Inputs!$B$20*Inputs!$B$109+Inputs!$B$21*Inputs!$B$110)/Inputs!$B$112)</f>
        <v>0.2567968199999999</v>
      </c>
    </row>
    <row r="117" spans="1:2">
      <c r="A117" t="s">
        <v>235</v>
      </c>
      <c r="B117" s="9">
        <f>IF(Inputs!$B$30=0,0,Inputs!$B$114/Inputs!$B$30)</f>
        <v>3959.9999999999995</v>
      </c>
    </row>
    <row r="118" spans="1:2">
      <c r="A118" t="s">
        <v>236</v>
      </c>
      <c r="B118" s="9">
        <f>IF(Inputs!$B$76=0,0,Inputs!$B$117/Inputs!$B$76)</f>
        <v>9.899999999999999</v>
      </c>
    </row>
    <row r="119" spans="1:2">
      <c r="A119" t="s">
        <v>237</v>
      </c>
      <c r="B119" s="9">
        <f>IF(Inputs!$B$77=0,0,Inputs!$B$117/Inputs!$B$77)</f>
        <v>2.1999999999999997</v>
      </c>
    </row>
    <row r="120" spans="1:2">
      <c r="A120" t="s">
        <v>238</v>
      </c>
      <c r="B120" s="9">
        <f>IF(Inputs!$B$114=0,0,Inputs!$B$14/Inputs!$B$114)</f>
        <v>3.0202020202020203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cols>
    <col min="1" max="1" width="42.7109375" customWidth="1"/>
    <col min="2" max="4" width="16.7109375" customWidth="1"/>
  </cols>
  <sheetData>
    <row r="1" spans="1:2">
      <c r="A1" s="1" t="s">
        <v>239</v>
      </c>
    </row>
    <row r="2" spans="1:2">
      <c r="A2" s="2" t="s">
        <v>240</v>
      </c>
    </row>
    <row r="4" spans="1:2">
      <c r="A4" s="3" t="s">
        <v>241</v>
      </c>
    </row>
    <row r="5" spans="1:2">
      <c r="A5" t="s">
        <v>242</v>
      </c>
      <c r="B5" t="s">
        <v>243</v>
      </c>
    </row>
    <row r="6" spans="1:2">
      <c r="A6" t="s">
        <v>244</v>
      </c>
      <c r="B6" t="s">
        <v>245</v>
      </c>
    </row>
    <row r="7" spans="1:2">
      <c r="A7" t="s">
        <v>246</v>
      </c>
      <c r="B7">
        <v>0</v>
      </c>
    </row>
    <row r="8" spans="1:2">
      <c r="A8" t="s">
        <v>207</v>
      </c>
      <c r="B8" s="9">
        <f>Inputs!$B$89</f>
        <v>300000.0</v>
      </c>
    </row>
    <row r="9" spans="1:2">
      <c r="A9" t="s">
        <v>209</v>
      </c>
      <c r="B9" s="9">
        <f>Inputs!$B$90</f>
        <v>60000.0</v>
      </c>
    </row>
    <row r="10" spans="1:2">
      <c r="A10" t="s">
        <v>211</v>
      </c>
      <c r="B10" s="9">
        <f>Inputs!$B$91</f>
        <v>40000.0</v>
      </c>
    </row>
    <row r="11" spans="1:2">
      <c r="A11" t="s">
        <v>247</v>
      </c>
      <c r="B11" s="9">
        <f>Inputs!$B$90-Inputs!$B$91</f>
        <v>20000.0</v>
      </c>
    </row>
    <row r="12" spans="1:2">
      <c r="A12" t="s">
        <v>248</v>
      </c>
      <c r="B12" s="11">
        <f>IF((Inputs!$B$90-Inputs!$B$91)&lt;=0,99,INT(Inputs!$B$89/MAX(1,Inputs!$B$90-Inputs!$B$91)))</f>
        <v>15</v>
      </c>
    </row>
    <row r="13" spans="1:2">
      <c r="A13" t="s">
        <v>249</v>
      </c>
      <c r="B13">
        <v>1</v>
      </c>
    </row>
    <row r="14" spans="1:2">
      <c r="A14" t="s">
        <v>250</v>
      </c>
      <c r="B14">
        <v>1</v>
      </c>
    </row>
    <row r="15" spans="1:2">
      <c r="A15" t="s">
        <v>251</v>
      </c>
      <c r="B15">
        <v>11</v>
      </c>
    </row>
    <row r="16" spans="1:2">
      <c r="A16" t="s">
        <v>252</v>
      </c>
      <c r="B16" t="s">
        <v>253</v>
      </c>
    </row>
    <row r="17" spans="1:10">
      <c r="A17" t="s">
        <v>254</v>
      </c>
      <c r="B17">
        <v>4</v>
      </c>
    </row>
    <row r="18" spans="1:10">
      <c r="A18" t="s">
        <v>255</v>
      </c>
      <c r="B18">
        <v>14</v>
      </c>
    </row>
    <row r="19" spans="1:10">
      <c r="A19" t="s">
        <v>256</v>
      </c>
      <c r="B19" t="s">
        <v>257</v>
      </c>
    </row>
    <row r="21" spans="1:10">
      <c r="A21" s="3" t="s">
        <v>258</v>
      </c>
    </row>
    <row r="22" spans="1:10">
      <c r="A22" t="s">
        <v>259</v>
      </c>
    </row>
    <row r="23" spans="1:10">
      <c r="A23" t="s">
        <v>260</v>
      </c>
    </row>
    <row r="24" spans="1:10">
      <c r="A24" t="s">
        <v>261</v>
      </c>
    </row>
    <row r="25" spans="1:10">
      <c r="A25" t="s">
        <v>262</v>
      </c>
    </row>
    <row r="26" spans="1:10">
      <c r="A26" t="s">
        <v>263</v>
      </c>
    </row>
    <row r="27" spans="1:10">
      <c r="A27" t="s">
        <v>264</v>
      </c>
    </row>
    <row r="30" spans="1:10">
      <c r="A30" s="3" t="s">
        <v>265</v>
      </c>
    </row>
    <row r="31" spans="1:10">
      <c r="A31" s="4" t="s">
        <v>266</v>
      </c>
      <c r="B31" s="4" t="s">
        <v>267</v>
      </c>
      <c r="C31" s="4" t="s">
        <v>268</v>
      </c>
      <c r="D31" s="4" t="s">
        <v>66</v>
      </c>
      <c r="E31" s="4" t="s">
        <v>269</v>
      </c>
      <c r="F31" s="4" t="s">
        <v>270</v>
      </c>
      <c r="G31" s="4" t="s">
        <v>271</v>
      </c>
      <c r="H31" s="4" t="s">
        <v>272</v>
      </c>
      <c r="I31" s="4" t="s">
        <v>273</v>
      </c>
      <c r="J31" s="4" t="s">
        <v>274</v>
      </c>
    </row>
    <row r="32" spans="1:10">
      <c r="A32">
        <v>1</v>
      </c>
      <c r="B32" s="9">
        <f>PnL!B4</f>
        <v>100.0</v>
      </c>
      <c r="C32" s="11">
        <f>PnL!B5</f>
        <v>100.0</v>
      </c>
      <c r="D32" s="9">
        <f>PnL!B6</f>
        <v>25.0</v>
      </c>
      <c r="E32" s="9">
        <f>PnL!B7</f>
        <v>4.000000000000001</v>
      </c>
      <c r="F32" s="9">
        <f>PnL!B8</f>
        <v>2772.0000000000005</v>
      </c>
      <c r="G32" s="9">
        <f>PnL!B9</f>
        <v>3588.0000000000005</v>
      </c>
      <c r="H32" s="9">
        <f>PnL!B12</f>
        <v>6360.000000000001</v>
      </c>
      <c r="I32" s="9">
        <f>PnL!B23</f>
        <v>-2344.9652432799994</v>
      </c>
      <c r="J32" s="9">
        <f>CashFlow!B13</f>
        <v>280000.0</v>
      </c>
    </row>
    <row r="33" spans="1:10">
      <c r="A33">
        <v>2</v>
      </c>
      <c r="B33" s="9">
        <f>PnL!C4</f>
        <v>112.00000000000001</v>
      </c>
      <c r="C33" s="11">
        <f>PnL!C5</f>
        <v>206.0</v>
      </c>
      <c r="D33" s="9">
        <f>PnL!C6</f>
        <v>51.5</v>
      </c>
      <c r="E33" s="9">
        <f>PnL!C7</f>
        <v>8.240000000000002</v>
      </c>
      <c r="F33" s="9">
        <f>PnL!C8</f>
        <v>5413.3200000000015</v>
      </c>
      <c r="G33" s="9">
        <f>PnL!C9</f>
        <v>4700.280000000001</v>
      </c>
      <c r="H33" s="9">
        <f>PnL!C12</f>
        <v>10113.600000000002</v>
      </c>
      <c r="I33" s="9">
        <f>PnL!C23</f>
        <v>-3430.859441156798</v>
      </c>
      <c r="J33" s="9">
        <f>CashFlow!C13</f>
        <v>260000.0</v>
      </c>
    </row>
    <row r="34" spans="1:10">
      <c r="A34">
        <v>3</v>
      </c>
      <c r="B34" s="9">
        <f>PnL!D4</f>
        <v>125.44000000000001</v>
      </c>
      <c r="C34" s="11">
        <f>PnL!D5</f>
        <v>319.08</v>
      </c>
      <c r="D34" s="9">
        <f>PnL!D6</f>
        <v>79.77</v>
      </c>
      <c r="E34" s="9">
        <f>PnL!D7</f>
        <v>12.763200000000001</v>
      </c>
      <c r="F34" s="9">
        <f>PnL!D8</f>
        <v>7936.077599999999</v>
      </c>
      <c r="G34" s="9">
        <f>PnL!D9</f>
        <v>5905.130399999999</v>
      </c>
      <c r="H34" s="9">
        <f>PnL!D12</f>
        <v>13841.207999999999</v>
      </c>
      <c r="I34" s="9">
        <f>PnL!D23</f>
        <v>-582.0650854578262</v>
      </c>
      <c r="J34" s="9">
        <f>CashFlow!D13</f>
        <v>240000.0</v>
      </c>
    </row>
    <row r="35" spans="1:10">
      <c r="A35">
        <v>4</v>
      </c>
      <c r="B35" s="9">
        <f>PnL!E4</f>
        <v>140.49280000000005</v>
      </c>
      <c r="C35" s="11">
        <f>PnL!E5</f>
        <v>440.428</v>
      </c>
      <c r="D35" s="9">
        <f>PnL!E6</f>
        <v>110.107</v>
      </c>
      <c r="E35" s="9">
        <f>PnL!E7</f>
        <v>17.617120000000003</v>
      </c>
      <c r="F35" s="9">
        <f>PnL!E8</f>
        <v>11540.176560000002</v>
      </c>
      <c r="G35" s="9">
        <f>PnL!E9</f>
        <v>7216.113840000001</v>
      </c>
      <c r="H35" s="9">
        <f>PnL!E12</f>
        <v>18756.2904</v>
      </c>
      <c r="I35" s="9">
        <f>PnL!E23</f>
        <v>3299.560698806761</v>
      </c>
      <c r="J35" s="9">
        <f>CashFlow!E13</f>
        <v>220000.0</v>
      </c>
    </row>
    <row r="36" spans="1:10">
      <c r="A36">
        <v>5</v>
      </c>
      <c r="B36" s="9">
        <f>PnL!F4</f>
        <v>157.35193600000005</v>
      </c>
      <c r="C36" s="11">
        <f>PnL!F5</f>
        <v>571.3542560000001</v>
      </c>
      <c r="D36" s="9">
        <f>PnL!F6</f>
        <v>142.83856400000002</v>
      </c>
      <c r="E36" s="9">
        <f>PnL!F7</f>
        <v>22.85417024000001</v>
      </c>
      <c r="F36" s="9">
        <f>PnL!F8</f>
        <v>15417.661216320006</v>
      </c>
      <c r="G36" s="9">
        <f>PnL!F9</f>
        <v>8648.273225280005</v>
      </c>
      <c r="H36" s="9">
        <f>PnL!F12</f>
        <v>24065.93444160001</v>
      </c>
      <c r="I36" s="9">
        <f>PnL!F23</f>
        <v>-3514.3108832880675</v>
      </c>
      <c r="J36" s="9">
        <f>CashFlow!F13</f>
        <v>200000.0</v>
      </c>
    </row>
    <row r="37" spans="1:10">
      <c r="A37">
        <v>6</v>
      </c>
      <c r="B37" s="9">
        <f>PnL!G4</f>
        <v>176.23416832000007</v>
      </c>
      <c r="C37" s="11">
        <f>PnL!G5</f>
        <v>713.3071689600001</v>
      </c>
      <c r="D37" s="9">
        <f>PnL!G6</f>
        <v>178.32679224000003</v>
      </c>
      <c r="E37" s="9">
        <f>PnL!G7</f>
        <v>28.532286758400012</v>
      </c>
      <c r="F37" s="9">
        <f>PnL!G8</f>
        <v>19610.884223251207</v>
      </c>
      <c r="G37" s="9">
        <f>PnL!G9</f>
        <v>10218.318193324802</v>
      </c>
      <c r="H37" s="9">
        <f>PnL!G12</f>
        <v>29829.20241657601</v>
      </c>
      <c r="I37" s="9">
        <f>PnL!G23</f>
        <v>2161.703939762815</v>
      </c>
      <c r="J37" s="9">
        <f>CashFlow!G13</f>
        <v>180000.0</v>
      </c>
    </row>
    <row r="38" spans="1:10">
      <c r="A38">
        <v>7</v>
      </c>
      <c r="B38" s="9">
        <f>PnL!H4</f>
        <v>197.3822685184001</v>
      </c>
      <c r="C38" s="11">
        <f>PnL!H5</f>
        <v>867.8910073408002</v>
      </c>
      <c r="D38" s="9">
        <f>PnL!H6</f>
        <v>216.97275183520006</v>
      </c>
      <c r="E38" s="9">
        <f>PnL!H7</f>
        <v>34.71564029363201</v>
      </c>
      <c r="F38" s="9">
        <f>PnL!H8</f>
        <v>24166.70777135578</v>
      </c>
      <c r="G38" s="9">
        <f>PnL!H9</f>
        <v>11944.833426674306</v>
      </c>
      <c r="H38" s="9">
        <f>PnL!H12</f>
        <v>36111.541198030085</v>
      </c>
      <c r="I38" s="9">
        <f>PnL!H23</f>
        <v>7292.933321369879</v>
      </c>
      <c r="J38" s="12">
        <f>CashFlow!H13</f>
        <v>160000.0</v>
      </c>
    </row>
    <row r="39" spans="1:10">
      <c r="A39">
        <v>8</v>
      </c>
      <c r="B39" s="9">
        <f>PnL!I4</f>
        <v>221.06814074060816</v>
      </c>
      <c r="C39" s="11">
        <f>PnL!I5</f>
        <v>1036.8856876409602</v>
      </c>
      <c r="D39" s="9">
        <f>PnL!I6</f>
        <v>259.22142191024005</v>
      </c>
      <c r="E39" s="9">
        <f>PnL!I7</f>
        <v>41.475427505638415</v>
      </c>
      <c r="F39" s="9">
        <f>PnL!I8</f>
        <v>29137.079098754046</v>
      </c>
      <c r="G39" s="9">
        <f>PnL!I9</f>
        <v>13848.511465016722</v>
      </c>
      <c r="H39" s="9">
        <f>PnL!I12</f>
        <v>42985.59056377077</v>
      </c>
      <c r="I39" s="9">
        <f>PnL!I23</f>
        <v>12902.596689439662</v>
      </c>
      <c r="J39" s="12">
        <f>CashFlow!I13</f>
        <v>140000.0</v>
      </c>
    </row>
    <row r="40" spans="1:10">
      <c r="A40">
        <v>9</v>
      </c>
      <c r="B40" s="9">
        <f>PnL!J4</f>
        <v>247.59631762948112</v>
      </c>
      <c r="C40" s="11">
        <f>PnL!J5</f>
        <v>1222.2688640119836</v>
      </c>
      <c r="D40" s="9">
        <f>PnL!J6</f>
        <v>305.5672160029959</v>
      </c>
      <c r="E40" s="9">
        <f>PnL!J7</f>
        <v>48.89075456047935</v>
      </c>
      <c r="F40" s="9">
        <f>PnL!J8</f>
        <v>34579.673001749965</v>
      </c>
      <c r="G40" s="9">
        <f>PnL!J9</f>
        <v>15952.412986331732</v>
      </c>
      <c r="H40" s="9">
        <f>PnL!J12</f>
        <v>50532.0859880817</v>
      </c>
      <c r="I40" s="9">
        <f>PnL!J23</f>
        <v>19056.344934707493</v>
      </c>
      <c r="J40" s="12">
        <f>CashFlow!J13</f>
        <v>120000.0</v>
      </c>
    </row>
    <row r="41" spans="1:10">
      <c r="A41">
        <v>10</v>
      </c>
      <c r="B41" s="9">
        <f>PnL!K4</f>
        <v>277.3078757450189</v>
      </c>
      <c r="C41" s="11">
        <f>PnL!K5</f>
        <v>1426.2406079162834</v>
      </c>
      <c r="D41" s="9">
        <f>PnL!K6</f>
        <v>356.56015197907084</v>
      </c>
      <c r="E41" s="9">
        <f>PnL!K7</f>
        <v>57.04962431665135</v>
      </c>
      <c r="F41" s="9">
        <f>PnL!K8</f>
        <v>40558.60950843667</v>
      </c>
      <c r="G41" s="9">
        <f>PnL!K9</f>
        <v>18282.25788147378</v>
      </c>
      <c r="H41" s="9">
        <f>PnL!K12</f>
        <v>58840.86738991045</v>
      </c>
      <c r="I41" s="9">
        <f>PnL!K23</f>
        <v>25827.212726055364</v>
      </c>
      <c r="J41" s="12">
        <f>CashFlow!K13</f>
        <v>100000.0</v>
      </c>
    </row>
    <row r="42" spans="1:10">
      <c r="A42">
        <v>11</v>
      </c>
      <c r="B42" s="9">
        <f>PnL!L4</f>
        <v>310.5848208344212</v>
      </c>
      <c r="C42" s="11">
        <f>PnL!L5</f>
        <v>1651.2509922757274</v>
      </c>
      <c r="D42" s="9">
        <f>PnL!L6</f>
        <v>412.81274806893185</v>
      </c>
      <c r="E42" s="9">
        <f>PnL!L7</f>
        <v>66.05003969102911</v>
      </c>
      <c r="F42" s="9">
        <f>PnL!L8</f>
        <v>47145.255851137175</v>
      </c>
      <c r="G42" s="9">
        <f>PnL!L9</f>
        <v>20866.75084382592</v>
      </c>
      <c r="H42" s="9">
        <f>PnL!L12</f>
        <v>68012.0066949631</v>
      </c>
      <c r="I42" s="9">
        <f>PnL!L23</f>
        <v>33296.534223614</v>
      </c>
      <c r="J42" s="12">
        <f>CashFlow!L13</f>
        <v>80000.0</v>
      </c>
    </row>
    <row r="43" spans="1:10">
      <c r="A43">
        <v>12</v>
      </c>
      <c r="B43" s="9">
        <f>PnL!M4</f>
        <v>347.8549993345518</v>
      </c>
      <c r="C43" s="11">
        <f>PnL!M5</f>
        <v>1900.0309320737356</v>
      </c>
      <c r="D43" s="9">
        <f>PnL!M6</f>
        <v>475.0077330184339</v>
      </c>
      <c r="E43" s="9">
        <f>PnL!M7</f>
        <v>76.00123728294943</v>
      </c>
      <c r="F43" s="9">
        <f>PnL!M8</f>
        <v>54419.122962860456</v>
      </c>
      <c r="G43" s="9">
        <f>PnL!M9</f>
        <v>23737.9456406658</v>
      </c>
      <c r="H43" s="9">
        <f>PnL!M12</f>
        <v>78157.06860352625</v>
      </c>
      <c r="I43" s="9">
        <f>PnL!M23</f>
        <v>41554.96689785373</v>
      </c>
      <c r="J43" s="12">
        <f>CashFlow!M13</f>
        <v>60000.0</v>
      </c>
    </row>
    <row r="44" spans="1:10">
      <c r="A44">
        <v>13</v>
      </c>
      <c r="B44" s="9">
        <f>PnL!N4</f>
        <v>389.5975992546981</v>
      </c>
      <c r="C44" s="11">
        <f>PnL!N5</f>
        <v>2175.6266754040093</v>
      </c>
      <c r="D44" s="9">
        <f>PnL!N6</f>
        <v>543.9066688510023</v>
      </c>
      <c r="E44" s="9">
        <f>PnL!N7</f>
        <v>87.02506701616039</v>
      </c>
      <c r="F44" s="9">
        <f>PnL!N8</f>
        <v>62468.86794341533</v>
      </c>
      <c r="G44" s="9">
        <f>PnL!N9</f>
        <v>26931.65273139164</v>
      </c>
      <c r="H44" s="9">
        <f>PnL!N12</f>
        <v>164400.52067480696</v>
      </c>
      <c r="I44" s="9">
        <f>PnL!N23</f>
        <v>58214.14526375608</v>
      </c>
      <c r="J44" s="12">
        <f>CashFlow!N13</f>
        <v>48214.14526375608</v>
      </c>
    </row>
    <row r="45" spans="1:10">
      <c r="A45">
        <v>14</v>
      </c>
      <c r="B45" s="9">
        <f>PnL!O4</f>
        <v>436.3493111652619</v>
      </c>
      <c r="C45" s="11">
        <f>PnL!O5</f>
        <v>2481.4383860450307</v>
      </c>
      <c r="D45" s="9">
        <f>PnL!O6</f>
        <v>620.3595965112577</v>
      </c>
      <c r="E45" s="9">
        <f>PnL!O7</f>
        <v>99.25753544180125</v>
      </c>
      <c r="F45" s="9">
        <f>PnL!O8</f>
        <v>71393.41530813609</v>
      </c>
      <c r="G45" s="9">
        <f>PnL!O9</f>
        <v>30487.895456173817</v>
      </c>
      <c r="H45" s="9">
        <f>PnL!O12</f>
        <v>176881.3107643099</v>
      </c>
      <c r="I45" s="9">
        <f>PnL!O23</f>
        <v>61708.623063419924</v>
      </c>
      <c r="J45" s="12">
        <f>CashFlow!O13</f>
        <v>39922.768327176</v>
      </c>
    </row>
    <row r="46" spans="1:10">
      <c r="A46">
        <v>15</v>
      </c>
      <c r="B46" s="9">
        <f>PnL!P4</f>
        <v>488.71122850509335</v>
      </c>
      <c r="C46" s="11">
        <f>PnL!P5</f>
        <v>2821.263311387422</v>
      </c>
      <c r="D46" s="9">
        <f>PnL!P6</f>
        <v>705.3158278468555</v>
      </c>
      <c r="E46" s="9">
        <f>PnL!P7</f>
        <v>112.8505324554969</v>
      </c>
      <c r="F46" s="9">
        <f>PnL!P8</f>
        <v>81303.21136393269</v>
      </c>
      <c r="G46" s="9">
        <f>PnL!P9</f>
        <v>34451.420644108926</v>
      </c>
      <c r="H46" s="9">
        <f>PnL!P12</f>
        <v>190754.6320080416</v>
      </c>
      <c r="I46" s="9">
        <f>PnL!P23</f>
        <v>65029.30935456266</v>
      </c>
      <c r="J46" s="12">
        <f>CashFlow!P13</f>
        <v>34952.077681738665</v>
      </c>
    </row>
    <row r="47" spans="1:10">
      <c r="A47">
        <v>16</v>
      </c>
      <c r="B47" s="9">
        <f>PnL!Q4</f>
        <v>547.3565759257045</v>
      </c>
      <c r="C47" s="11">
        <f>PnL!Q5</f>
        <v>3199.3440886298813</v>
      </c>
      <c r="D47" s="9">
        <f>PnL!Q6</f>
        <v>799.8360221574703</v>
      </c>
      <c r="E47" s="9">
        <f>PnL!Q7</f>
        <v>127.97376354519528</v>
      </c>
      <c r="F47" s="9">
        <f>PnL!Q8</f>
        <v>92321.62777329567</v>
      </c>
      <c r="G47" s="9">
        <f>PnL!Q9</f>
        <v>38872.270190604635</v>
      </c>
      <c r="H47" s="9">
        <f>PnL!Q12</f>
        <v>206193.8979639003</v>
      </c>
      <c r="I47" s="9">
        <f>PnL!Q23</f>
        <v>68717.33688683057</v>
      </c>
      <c r="J47" s="12">
        <f>CashFlow!Q13</f>
        <v>33669.414568569235</v>
      </c>
    </row>
    <row r="48" spans="1:10">
      <c r="A48">
        <v>17</v>
      </c>
      <c r="B48" s="9">
        <f>PnL!R4</f>
        <v>613.0393650367891</v>
      </c>
      <c r="C48" s="11">
        <f>PnL!R5</f>
        <v>3620.4228083488774</v>
      </c>
      <c r="D48" s="9">
        <f>PnL!R6</f>
        <v>905.1057020872194</v>
      </c>
      <c r="E48" s="9">
        <f>PnL!R7</f>
        <v>144.81691233395512</v>
      </c>
      <c r="F48" s="9">
        <f>PnL!R8</f>
        <v>104586.53228904071</v>
      </c>
      <c r="G48" s="9">
        <f>PnL!R9</f>
        <v>43806.42093852762</v>
      </c>
      <c r="H48" s="9">
        <f>PnL!R12</f>
        <v>223392.95322756833</v>
      </c>
      <c r="I48" s="9">
        <f>PnL!R23</f>
        <v>72818.6550759874</v>
      </c>
      <c r="J48" s="12">
        <f>CashFlow!R13</f>
        <v>36488.06964455663</v>
      </c>
    </row>
    <row r="49" spans="1:10">
      <c r="A49">
        <v>18</v>
      </c>
      <c r="B49" s="9">
        <f>PnL!S4</f>
        <v>686.6040888412039</v>
      </c>
      <c r="C49" s="11">
        <f>PnL!S5</f>
        <v>4089.8015286891487</v>
      </c>
      <c r="D49" s="9">
        <f>PnL!S6</f>
        <v>1022.4503821722872</v>
      </c>
      <c r="E49" s="9">
        <f>PnL!S7</f>
        <v>163.59206114756597</v>
      </c>
      <c r="F49" s="9">
        <f>PnL!S8</f>
        <v>118252.04679569822</v>
      </c>
      <c r="G49" s="9">
        <f>PnL!S9</f>
        <v>49316.50107669837</v>
      </c>
      <c r="H49" s="9">
        <f>PnL!S12</f>
        <v>242568.5478723966</v>
      </c>
      <c r="I49" s="9">
        <f>PnL!S23</f>
        <v>77384.61515967883</v>
      </c>
      <c r="J49" s="12">
        <f>CashFlow!S13</f>
        <v>43872.684804235454</v>
      </c>
    </row>
    <row r="50" spans="1:10">
      <c r="A50">
        <v>19</v>
      </c>
      <c r="B50" s="9">
        <f>PnL!T4</f>
        <v>768.9965795021485</v>
      </c>
      <c r="C50" s="11">
        <f>PnL!T5</f>
        <v>4613.4100164699485</v>
      </c>
      <c r="D50" s="9">
        <f>PnL!T6</f>
        <v>1153.3525041174871</v>
      </c>
      <c r="E50" s="9">
        <f>PnL!T7</f>
        <v>184.536400658798</v>
      </c>
      <c r="F50" s="9">
        <f>PnL!T8</f>
        <v>133490.5152052363</v>
      </c>
      <c r="G50" s="9">
        <f>PnL!T9</f>
        <v>55472.59225391679</v>
      </c>
      <c r="H50" s="9">
        <f>PnL!T12</f>
        <v>263963.10745915305</v>
      </c>
      <c r="I50" s="9">
        <f>PnL!T23</f>
        <v>82472.62514253883</v>
      </c>
      <c r="J50" s="12">
        <f>CashFlow!T13</f>
        <v>56345.30994677429</v>
      </c>
    </row>
    <row r="51" spans="1:10">
      <c r="A51">
        <v>20</v>
      </c>
      <c r="B51" s="9">
        <f>PnL!U4</f>
        <v>861.2761690424063</v>
      </c>
      <c r="C51" s="11">
        <f>PnL!U5</f>
        <v>5197.881584524157</v>
      </c>
      <c r="D51" s="9">
        <f>PnL!U6</f>
        <v>1299.4703961310393</v>
      </c>
      <c r="E51" s="9">
        <f>PnL!U7</f>
        <v>207.9152633809663</v>
      </c>
      <c r="F51" s="9">
        <f>PnL!U8</f>
        <v>150494.7064562756</v>
      </c>
      <c r="G51" s="9">
        <f>PnL!U9</f>
        <v>62353.12770952044</v>
      </c>
      <c r="H51" s="9">
        <f>PnL!U12</f>
        <v>287847.83416579606</v>
      </c>
      <c r="I51" s="9">
        <f>PnL!U23</f>
        <v>88146.88293112017</v>
      </c>
      <c r="J51" s="12">
        <f>CashFlow!U13</f>
        <v>74492.19287789446</v>
      </c>
    </row>
    <row r="52" spans="1:10">
      <c r="A52">
        <v>21</v>
      </c>
      <c r="B52" s="9">
        <f>PnL!V4</f>
        <v>964.6293093274952</v>
      </c>
      <c r="C52" s="11">
        <f>PnL!V5</f>
        <v>5850.637998780203</v>
      </c>
      <c r="D52" s="9">
        <f>PnL!V6</f>
        <v>1462.6594996950507</v>
      </c>
      <c r="E52" s="9">
        <f>PnL!V7</f>
        <v>234.02551995120817</v>
      </c>
      <c r="F52" s="9">
        <f>PnL!V8</f>
        <v>169480.28089185507</v>
      </c>
      <c r="G52" s="9">
        <f>PnL!V9</f>
        <v>70045.89795668863</v>
      </c>
      <c r="H52" s="9">
        <f>PnL!V12</f>
        <v>314526.17884854367</v>
      </c>
      <c r="I52" s="9">
        <f>PnL!V23</f>
        <v>94479.19706564263</v>
      </c>
      <c r="J52" s="12">
        <f>CashFlow!V13</f>
        <v>98971.38994353708</v>
      </c>
    </row>
    <row r="53" spans="1:10">
      <c r="A53">
        <v>22</v>
      </c>
      <c r="B53" s="9">
        <f>PnL!W4</f>
        <v>1080.384826446795</v>
      </c>
      <c r="C53" s="11">
        <f>PnL!W5</f>
        <v>6579.984545300185</v>
      </c>
      <c r="D53" s="9">
        <f>PnL!W6</f>
        <v>1644.9961363250463</v>
      </c>
      <c r="E53" s="9">
        <f>PnL!W7</f>
        <v>263.19938181200746</v>
      </c>
      <c r="F53" s="9">
        <f>PnL!W8</f>
        <v>190688.55168005446</v>
      </c>
      <c r="G53" s="9">
        <f>PnL!W9</f>
        <v>78649.17693819539</v>
      </c>
      <c r="H53" s="9">
        <f>PnL!W12</f>
        <v>344337.7286182499</v>
      </c>
      <c r="I53" s="9">
        <f>PnL!W23</f>
        <v>101549.90558294056</v>
      </c>
      <c r="J53" s="12">
        <f>CashFlow!W13</f>
        <v>130521.29552647764</v>
      </c>
    </row>
    <row r="54" spans="1:10">
      <c r="A54">
        <v>23</v>
      </c>
      <c r="B54" s="9">
        <f>PnL!X4</f>
        <v>1210.0310056204103</v>
      </c>
      <c r="C54" s="11">
        <f>PnL!X5</f>
        <v>7395.216478202585</v>
      </c>
      <c r="D54" s="9">
        <f>PnL!X6</f>
        <v>1848.8041195506462</v>
      </c>
      <c r="E54" s="9">
        <f>PnL!X7</f>
        <v>295.80865912810344</v>
      </c>
      <c r="F54" s="9">
        <f>PnL!X8</f>
        <v>214389.57673796715</v>
      </c>
      <c r="G54" s="9">
        <f>PnL!X9</f>
        <v>88272.98312388077</v>
      </c>
      <c r="H54" s="9">
        <f>PnL!X12</f>
        <v>377662.5598618479</v>
      </c>
      <c r="I54" s="9">
        <f>PnL!X23</f>
        <v>109448.90480774891</v>
      </c>
      <c r="J54" s="12">
        <f>CashFlow!X13</f>
        <v>169970.20033422654</v>
      </c>
    </row>
    <row r="55" spans="1:10">
      <c r="A55">
        <v>24</v>
      </c>
      <c r="B55" s="9">
        <f>PnL!Y4</f>
        <v>1355.2347262948595</v>
      </c>
      <c r="C55" s="11">
        <f>PnL!Y5</f>
        <v>8306.738215805288</v>
      </c>
      <c r="D55" s="9">
        <f>PnL!Y6</f>
        <v>2076.684553951322</v>
      </c>
      <c r="E55" s="9">
        <f>PnL!Y7</f>
        <v>332.2695286322116</v>
      </c>
      <c r="F55" s="9">
        <f>PnL!Y8</f>
        <v>240885.62087145098</v>
      </c>
      <c r="G55" s="9">
        <f>PnL!Y9</f>
        <v>99040.4917546622</v>
      </c>
      <c r="H55" s="9">
        <f>PnL!Y12</f>
        <v>414926.1126261132</v>
      </c>
      <c r="I55" s="9">
        <f>PnL!Y23</f>
        <v>118276.80128384297</v>
      </c>
      <c r="J55" s="9">
        <f>CashFlow!Y13</f>
        <v>218247.0016180695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39"/>
  <sheetViews>
    <sheetView workbookViewId="0"/>
  </sheetViews>
  <sheetFormatPr defaultRowHeight="15"/>
  <cols>
    <col min="1" max="1" width="28.7109375" customWidth="1"/>
    <col min="2" max="25" width="11.7109375" customWidth="1"/>
  </cols>
  <sheetData>
    <row r="1" spans="1:25">
      <c r="A1" s="1" t="s">
        <v>275</v>
      </c>
    </row>
    <row r="3" spans="1:25">
      <c r="A3" t="s">
        <v>276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</row>
    <row r="4" spans="1:25">
      <c r="A4" t="s">
        <v>267</v>
      </c>
      <c r="B4" s="9">
        <f>Inputs!$B$25*(1+Inputs!$B$26)^(B3-1)*IF(B3&lt;=Inputs!$B$28,Inputs!$B$29,1)</f>
        <v>100.0</v>
      </c>
      <c r="C4" s="9">
        <f>Inputs!$B$25*(1+Inputs!$B$26)^(C3-1)*IF(C3&lt;=Inputs!$B$28,Inputs!$B$29,1)</f>
        <v>112.00000000000001</v>
      </c>
      <c r="D4" s="9">
        <f>Inputs!$B$25*(1+Inputs!$B$26)^(D3-1)*IF(D3&lt;=Inputs!$B$28,Inputs!$B$29,1)</f>
        <v>125.44000000000001</v>
      </c>
      <c r="E4" s="9">
        <f>Inputs!$B$25*(1+Inputs!$B$26)^(E3-1)*IF(E3&lt;=Inputs!$B$28,Inputs!$B$29,1)</f>
        <v>140.49280000000005</v>
      </c>
      <c r="F4" s="9">
        <f>Inputs!$B$25*(1+Inputs!$B$26)^(F3-1)*IF(F3&lt;=Inputs!$B$28,Inputs!$B$29,1)</f>
        <v>157.35193600000005</v>
      </c>
      <c r="G4" s="9">
        <f>Inputs!$B$25*(1+Inputs!$B$26)^(G3-1)*IF(G3&lt;=Inputs!$B$28,Inputs!$B$29,1)</f>
        <v>176.23416832000007</v>
      </c>
      <c r="H4" s="9">
        <f>Inputs!$B$25*(1+Inputs!$B$26)^(H3-1)*IF(H3&lt;=Inputs!$B$28,Inputs!$B$29,1)</f>
        <v>197.3822685184001</v>
      </c>
      <c r="I4" s="9">
        <f>Inputs!$B$25*(1+Inputs!$B$26)^(I3-1)*IF(I3&lt;=Inputs!$B$28,Inputs!$B$29,1)</f>
        <v>221.06814074060816</v>
      </c>
      <c r="J4" s="9">
        <f>Inputs!$B$25*(1+Inputs!$B$26)^(J3-1)*IF(J3&lt;=Inputs!$B$28,Inputs!$B$29,1)</f>
        <v>247.59631762948112</v>
      </c>
      <c r="K4" s="9">
        <f>Inputs!$B$25*(1+Inputs!$B$26)^(K3-1)*IF(K3&lt;=Inputs!$B$28,Inputs!$B$29,1)</f>
        <v>277.3078757450189</v>
      </c>
      <c r="L4" s="9">
        <f>Inputs!$B$25*(1+Inputs!$B$26)^(L3-1)*IF(L3&lt;=Inputs!$B$28,Inputs!$B$29,1)</f>
        <v>310.5848208344212</v>
      </c>
      <c r="M4" s="9">
        <f>Inputs!$B$25*(1+Inputs!$B$26)^(M3-1)*IF(M3&lt;=Inputs!$B$28,Inputs!$B$29,1)</f>
        <v>347.8549993345518</v>
      </c>
      <c r="N4" s="9">
        <f>Inputs!$B$25*(1+Inputs!$B$26)^(N3-1)*IF(N3&lt;=Inputs!$B$28,Inputs!$B$29,1)</f>
        <v>389.5975992546981</v>
      </c>
      <c r="O4" s="9">
        <f>Inputs!$B$25*(1+Inputs!$B$26)^(O3-1)*IF(O3&lt;=Inputs!$B$28,Inputs!$B$29,1)</f>
        <v>436.3493111652619</v>
      </c>
      <c r="P4" s="9">
        <f>Inputs!$B$25*(1+Inputs!$B$26)^(P3-1)*IF(P3&lt;=Inputs!$B$28,Inputs!$B$29,1)</f>
        <v>488.71122850509335</v>
      </c>
      <c r="Q4" s="9">
        <f>Inputs!$B$25*(1+Inputs!$B$26)^(Q3-1)*IF(Q3&lt;=Inputs!$B$28,Inputs!$B$29,1)</f>
        <v>547.3565759257045</v>
      </c>
      <c r="R4" s="9">
        <f>Inputs!$B$25*(1+Inputs!$B$26)^(R3-1)*IF(R3&lt;=Inputs!$B$28,Inputs!$B$29,1)</f>
        <v>613.0393650367891</v>
      </c>
      <c r="S4" s="9">
        <f>Inputs!$B$25*(1+Inputs!$B$26)^(S3-1)*IF(S3&lt;=Inputs!$B$28,Inputs!$B$29,1)</f>
        <v>686.6040888412039</v>
      </c>
      <c r="T4" s="9">
        <f>Inputs!$B$25*(1+Inputs!$B$26)^(T3-1)*IF(T3&lt;=Inputs!$B$28,Inputs!$B$29,1)</f>
        <v>768.9965795021485</v>
      </c>
      <c r="U4" s="9">
        <f>Inputs!$B$25*(1+Inputs!$B$26)^(U3-1)*IF(U3&lt;=Inputs!$B$28,Inputs!$B$29,1)</f>
        <v>861.2761690424063</v>
      </c>
      <c r="V4" s="9">
        <f>Inputs!$B$25*(1+Inputs!$B$26)^(V3-1)*IF(V3&lt;=Inputs!$B$28,Inputs!$B$29,1)</f>
        <v>964.6293093274952</v>
      </c>
      <c r="W4" s="9">
        <f>Inputs!$B$25*(1+Inputs!$B$26)^(W3-1)*IF(W3&lt;=Inputs!$B$28,Inputs!$B$29,1)</f>
        <v>1080.384826446795</v>
      </c>
      <c r="X4" s="9">
        <f>Inputs!$B$25*(1+Inputs!$B$26)^(X3-1)*IF(X3&lt;=Inputs!$B$28,Inputs!$B$29,1)</f>
        <v>1210.0310056204103</v>
      </c>
      <c r="Y4" s="9">
        <f>Inputs!$B$25*(1+Inputs!$B$26)^(Y3-1)*IF(Y3&lt;=Inputs!$B$28,Inputs!$B$29,1)</f>
        <v>1355.2347262948595</v>
      </c>
    </row>
    <row r="5" spans="1:25">
      <c r="A5" t="s">
        <v>268</v>
      </c>
      <c r="B5" s="11">
        <f>Inputs!$B$24*(1-Inputs!$B$27)+B4</f>
        <v>100.0</v>
      </c>
      <c r="C5" s="11">
        <f>B5*(1-Inputs!$B$27)+C4</f>
        <v>206.0</v>
      </c>
      <c r="D5" s="11">
        <f>C5*(1-Inputs!$B$27)+D4</f>
        <v>319.08</v>
      </c>
      <c r="E5" s="11">
        <f>D5*(1-Inputs!$B$27)+E4</f>
        <v>440.428</v>
      </c>
      <c r="F5" s="11">
        <f>E5*(1-Inputs!$B$27)+F4</f>
        <v>571.3542560000001</v>
      </c>
      <c r="G5" s="11">
        <f>F5*(1-Inputs!$B$27)+G4</f>
        <v>713.3071689600001</v>
      </c>
      <c r="H5" s="11">
        <f>G5*(1-Inputs!$B$27)+H4</f>
        <v>867.8910073408002</v>
      </c>
      <c r="I5" s="11">
        <f>H5*(1-Inputs!$B$27)+I4</f>
        <v>1036.8856876409602</v>
      </c>
      <c r="J5" s="11">
        <f>I5*(1-Inputs!$B$27)+J4</f>
        <v>1222.2688640119836</v>
      </c>
      <c r="K5" s="11">
        <f>J5*(1-Inputs!$B$27)+K4</f>
        <v>1426.2406079162834</v>
      </c>
      <c r="L5" s="11">
        <f>K5*(1-Inputs!$B$27)+L4</f>
        <v>1651.2509922757274</v>
      </c>
      <c r="M5" s="11">
        <f>L5*(1-Inputs!$B$27)+M4</f>
        <v>1900.0309320737356</v>
      </c>
      <c r="N5" s="11">
        <f>M5*(1-Inputs!$B$27)+N4</f>
        <v>2175.6266754040093</v>
      </c>
      <c r="O5" s="11">
        <f>N5*(1-Inputs!$B$27)+O4</f>
        <v>2481.4383860450307</v>
      </c>
      <c r="P5" s="11">
        <f>O5*(1-Inputs!$B$27)+P4</f>
        <v>2821.263311387422</v>
      </c>
      <c r="Q5" s="11">
        <f>P5*(1-Inputs!$B$27)+Q4</f>
        <v>3199.3440886298813</v>
      </c>
      <c r="R5" s="11">
        <f>Q5*(1-Inputs!$B$27)+R4</f>
        <v>3620.4228083488774</v>
      </c>
      <c r="S5" s="11">
        <f>R5*(1-Inputs!$B$27)+S4</f>
        <v>4089.8015286891487</v>
      </c>
      <c r="T5" s="11">
        <f>S5*(1-Inputs!$B$27)+T4</f>
        <v>4613.4100164699485</v>
      </c>
      <c r="U5" s="11">
        <f>T5*(1-Inputs!$B$27)+U4</f>
        <v>5197.881584524157</v>
      </c>
      <c r="V5" s="11">
        <f>U5*(1-Inputs!$B$27)+V4</f>
        <v>5850.637998780203</v>
      </c>
      <c r="W5" s="11">
        <f>V5*(1-Inputs!$B$27)+W4</f>
        <v>6579.984545300185</v>
      </c>
      <c r="X5" s="11">
        <f>W5*(1-Inputs!$B$27)+X4</f>
        <v>7395.216478202585</v>
      </c>
      <c r="Y5" s="11">
        <f>X5*(1-Inputs!$B$27)+Y4</f>
        <v>8306.738215805288</v>
      </c>
    </row>
    <row r="6" spans="1:25">
      <c r="A6" t="s">
        <v>66</v>
      </c>
      <c r="B6" s="9">
        <f>B5*Inputs!$B$60</f>
        <v>25.0</v>
      </c>
      <c r="C6" s="9">
        <f>C5*Inputs!$B$60</f>
        <v>51.5</v>
      </c>
      <c r="D6" s="9">
        <f>D5*Inputs!$B$60</f>
        <v>79.77</v>
      </c>
      <c r="E6" s="9">
        <f>E5*Inputs!$B$60</f>
        <v>110.107</v>
      </c>
      <c r="F6" s="9">
        <f>F5*Inputs!$B$60</f>
        <v>142.83856400000002</v>
      </c>
      <c r="G6" s="9">
        <f>G5*Inputs!$B$60</f>
        <v>178.32679224000003</v>
      </c>
      <c r="H6" s="9">
        <f>H5*Inputs!$B$60</f>
        <v>216.97275183520006</v>
      </c>
      <c r="I6" s="9">
        <f>I5*Inputs!$B$60</f>
        <v>259.22142191024005</v>
      </c>
      <c r="J6" s="9">
        <f>J5*Inputs!$B$60</f>
        <v>305.5672160029959</v>
      </c>
      <c r="K6" s="9">
        <f>K5*Inputs!$B$60</f>
        <v>356.56015197907084</v>
      </c>
      <c r="L6" s="9">
        <f>L5*Inputs!$B$60</f>
        <v>412.81274806893185</v>
      </c>
      <c r="M6" s="9">
        <f>M5*Inputs!$B$60</f>
        <v>475.0077330184339</v>
      </c>
      <c r="N6" s="9">
        <f>N5*Inputs!$B$60</f>
        <v>543.9066688510023</v>
      </c>
      <c r="O6" s="9">
        <f>O5*Inputs!$B$60</f>
        <v>620.3595965112577</v>
      </c>
      <c r="P6" s="9">
        <f>P5*Inputs!$B$60</f>
        <v>705.3158278468555</v>
      </c>
      <c r="Q6" s="9">
        <f>Q5*Inputs!$B$60</f>
        <v>799.8360221574703</v>
      </c>
      <c r="R6" s="9">
        <f>R5*Inputs!$B$60</f>
        <v>905.1057020872194</v>
      </c>
      <c r="S6" s="9">
        <f>S5*Inputs!$B$60</f>
        <v>1022.4503821722872</v>
      </c>
      <c r="T6" s="9">
        <f>T5*Inputs!$B$60</f>
        <v>1153.3525041174871</v>
      </c>
      <c r="U6" s="9">
        <f>U5*Inputs!$B$60</f>
        <v>1299.4703961310393</v>
      </c>
      <c r="V6" s="9">
        <f>V5*Inputs!$B$60</f>
        <v>1462.6594996950507</v>
      </c>
      <c r="W6" s="9">
        <f>W5*Inputs!$B$60</f>
        <v>1644.9961363250463</v>
      </c>
      <c r="X6" s="9">
        <f>X5*Inputs!$B$60</f>
        <v>1848.8041195506462</v>
      </c>
      <c r="Y6" s="9">
        <f>Y5*Inputs!$B$60</f>
        <v>2076.684553951322</v>
      </c>
    </row>
    <row r="7" spans="1:25">
      <c r="A7" t="s">
        <v>269</v>
      </c>
      <c r="B7" s="9">
        <f>B5*Inputs!$B$112</f>
        <v>4.000000000000001</v>
      </c>
      <c r="C7" s="9">
        <f>C5*Inputs!$B$112</f>
        <v>8.240000000000002</v>
      </c>
      <c r="D7" s="9">
        <f>D5*Inputs!$B$112</f>
        <v>12.763200000000001</v>
      </c>
      <c r="E7" s="9">
        <f>E5*Inputs!$B$112</f>
        <v>17.617120000000003</v>
      </c>
      <c r="F7" s="9">
        <f>F5*Inputs!$B$112</f>
        <v>22.85417024000001</v>
      </c>
      <c r="G7" s="9">
        <f>G5*Inputs!$B$112</f>
        <v>28.532286758400012</v>
      </c>
      <c r="H7" s="9">
        <f>H5*Inputs!$B$112</f>
        <v>34.71564029363201</v>
      </c>
      <c r="I7" s="9">
        <f>I5*Inputs!$B$112</f>
        <v>41.475427505638415</v>
      </c>
      <c r="J7" s="9">
        <f>J5*Inputs!$B$112</f>
        <v>48.89075456047935</v>
      </c>
      <c r="K7" s="9">
        <f>K5*Inputs!$B$112</f>
        <v>57.04962431665135</v>
      </c>
      <c r="L7" s="9">
        <f>L5*Inputs!$B$112</f>
        <v>66.05003969102911</v>
      </c>
      <c r="M7" s="9">
        <f>M5*Inputs!$B$112</f>
        <v>76.00123728294943</v>
      </c>
      <c r="N7" s="9">
        <f>N5*Inputs!$B$112</f>
        <v>87.02506701616039</v>
      </c>
      <c r="O7" s="9">
        <f>O5*Inputs!$B$112</f>
        <v>99.25753544180125</v>
      </c>
      <c r="P7" s="9">
        <f>P5*Inputs!$B$112</f>
        <v>112.8505324554969</v>
      </c>
      <c r="Q7" s="9">
        <f>Q5*Inputs!$B$112</f>
        <v>127.97376354519528</v>
      </c>
      <c r="R7" s="9">
        <f>R5*Inputs!$B$112</f>
        <v>144.81691233395512</v>
      </c>
      <c r="S7" s="9">
        <f>S5*Inputs!$B$112</f>
        <v>163.59206114756597</v>
      </c>
      <c r="T7" s="9">
        <f>T5*Inputs!$B$112</f>
        <v>184.536400658798</v>
      </c>
      <c r="U7" s="9">
        <f>U5*Inputs!$B$112</f>
        <v>207.9152633809663</v>
      </c>
      <c r="V7" s="9">
        <f>V5*Inputs!$B$112</f>
        <v>234.02551995120817</v>
      </c>
      <c r="W7" s="9">
        <f>W5*Inputs!$B$112</f>
        <v>263.19938181200746</v>
      </c>
      <c r="X7" s="9">
        <f>X5*Inputs!$B$112</f>
        <v>295.80865912810344</v>
      </c>
      <c r="Y7" s="9">
        <f>Y5*Inputs!$B$112</f>
        <v>332.2695286322116</v>
      </c>
    </row>
    <row r="8" spans="1:25">
      <c r="A8" t="s">
        <v>277</v>
      </c>
      <c r="B8" s="9">
        <f>B39*Inputs!$B$114</f>
        <v>2772.0000000000005</v>
      </c>
      <c r="C8" s="9">
        <f>C39*Inputs!$B$114</f>
        <v>5413.3200000000015</v>
      </c>
      <c r="D8" s="9">
        <f>D39*Inputs!$B$114</f>
        <v>7936.077599999999</v>
      </c>
      <c r="E8" s="9">
        <f>E39*Inputs!$B$114</f>
        <v>11540.176560000002</v>
      </c>
      <c r="F8" s="9">
        <f>F39*Inputs!$B$114</f>
        <v>15417.661216320006</v>
      </c>
      <c r="G8" s="9">
        <f>G39*Inputs!$B$114</f>
        <v>19610.884223251207</v>
      </c>
      <c r="H8" s="9">
        <f>H39*Inputs!$B$114</f>
        <v>24166.70777135578</v>
      </c>
      <c r="I8" s="9">
        <f>I39*Inputs!$B$114</f>
        <v>29137.079098754046</v>
      </c>
      <c r="J8" s="9">
        <f>J39*Inputs!$B$114</f>
        <v>34579.673001749965</v>
      </c>
      <c r="K8" s="9">
        <f>K39*Inputs!$B$114</f>
        <v>40558.60950843667</v>
      </c>
      <c r="L8" s="9">
        <f>L39*Inputs!$B$114</f>
        <v>47145.255851137175</v>
      </c>
      <c r="M8" s="9">
        <f>M39*Inputs!$B$114</f>
        <v>54419.122962860456</v>
      </c>
      <c r="N8" s="9">
        <f>N39*Inputs!$B$114</f>
        <v>62468.86794341533</v>
      </c>
      <c r="O8" s="9">
        <f>O39*Inputs!$B$114</f>
        <v>71393.41530813609</v>
      </c>
      <c r="P8" s="9">
        <f>P39*Inputs!$B$114</f>
        <v>81303.21136393269</v>
      </c>
      <c r="Q8" s="9">
        <f>Q39*Inputs!$B$114</f>
        <v>92321.62777329567</v>
      </c>
      <c r="R8" s="9">
        <f>R39*Inputs!$B$114</f>
        <v>104586.53228904071</v>
      </c>
      <c r="S8" s="9">
        <f>S39*Inputs!$B$114</f>
        <v>118252.04679569822</v>
      </c>
      <c r="T8" s="9">
        <f>T39*Inputs!$B$114</f>
        <v>133490.5152052363</v>
      </c>
      <c r="U8" s="9">
        <f>U39*Inputs!$B$114</f>
        <v>150494.7064562756</v>
      </c>
      <c r="V8" s="9">
        <f>V39*Inputs!$B$114</f>
        <v>169480.28089185507</v>
      </c>
      <c r="W8" s="9">
        <f>W39*Inputs!$B$114</f>
        <v>190688.55168005446</v>
      </c>
      <c r="X8" s="9">
        <f>X39*Inputs!$B$114</f>
        <v>214389.57673796715</v>
      </c>
      <c r="Y8" s="9">
        <f>Y39*Inputs!$B$114</f>
        <v>240885.62087145098</v>
      </c>
    </row>
    <row r="9" spans="1:25">
      <c r="A9" t="s">
        <v>278</v>
      </c>
      <c r="B9" s="9">
        <f>B37*Inputs!$B$14</f>
        <v>3588.0000000000005</v>
      </c>
      <c r="C9" s="9">
        <f>C37*Inputs!$B$14</f>
        <v>4700.280000000001</v>
      </c>
      <c r="D9" s="9">
        <f>D37*Inputs!$B$14</f>
        <v>5905.130399999999</v>
      </c>
      <c r="E9" s="9">
        <f>E37*Inputs!$B$14</f>
        <v>7216.113840000001</v>
      </c>
      <c r="F9" s="9">
        <f>F37*Inputs!$B$14</f>
        <v>8648.273225280005</v>
      </c>
      <c r="G9" s="9">
        <f>G37*Inputs!$B$14</f>
        <v>10218.318193324802</v>
      </c>
      <c r="H9" s="9">
        <f>H37*Inputs!$B$14</f>
        <v>11944.833426674306</v>
      </c>
      <c r="I9" s="9">
        <f>I37*Inputs!$B$14</f>
        <v>13848.511465016722</v>
      </c>
      <c r="J9" s="9">
        <f>J37*Inputs!$B$14</f>
        <v>15952.412986331732</v>
      </c>
      <c r="K9" s="9">
        <f>K37*Inputs!$B$14</f>
        <v>18282.25788147378</v>
      </c>
      <c r="L9" s="9">
        <f>L37*Inputs!$B$14</f>
        <v>20866.75084382592</v>
      </c>
      <c r="M9" s="9">
        <f>M37*Inputs!$B$14</f>
        <v>23737.9456406658</v>
      </c>
      <c r="N9" s="9">
        <f>N37*Inputs!$B$14</f>
        <v>26931.65273139164</v>
      </c>
      <c r="O9" s="9">
        <f>O37*Inputs!$B$14</f>
        <v>30487.895456173817</v>
      </c>
      <c r="P9" s="9">
        <f>P37*Inputs!$B$14</f>
        <v>34451.420644108926</v>
      </c>
      <c r="Q9" s="9">
        <f>Q37*Inputs!$B$14</f>
        <v>38872.270190604635</v>
      </c>
      <c r="R9" s="9">
        <f>R37*Inputs!$B$14</f>
        <v>43806.42093852762</v>
      </c>
      <c r="S9" s="9">
        <f>S37*Inputs!$B$14</f>
        <v>49316.50107669837</v>
      </c>
      <c r="T9" s="9">
        <f>T37*Inputs!$B$14</f>
        <v>55472.59225391679</v>
      </c>
      <c r="U9" s="9">
        <f>U37*Inputs!$B$14</f>
        <v>62353.12770952044</v>
      </c>
      <c r="V9" s="9">
        <f>V37*Inputs!$B$14</f>
        <v>70045.89795668863</v>
      </c>
      <c r="W9" s="9">
        <f>W37*Inputs!$B$14</f>
        <v>78649.17693819539</v>
      </c>
      <c r="X9" s="9">
        <f>X37*Inputs!$B$14</f>
        <v>88272.98312388077</v>
      </c>
      <c r="Y9" s="9">
        <f>Y37*Inputs!$B$14</f>
        <v>99040.4917546622</v>
      </c>
    </row>
    <row r="10" spans="1:25">
      <c r="A10" t="s">
        <v>279</v>
      </c>
      <c r="B10" s="9">
        <f>B8+B9</f>
        <v>6360.000000000001</v>
      </c>
      <c r="C10" s="9">
        <f>C8+C9</f>
        <v>10113.600000000002</v>
      </c>
      <c r="D10" s="9">
        <f>D8+D9</f>
        <v>13841.207999999999</v>
      </c>
      <c r="E10" s="9">
        <f>E8+E9</f>
        <v>18756.2904</v>
      </c>
      <c r="F10" s="9">
        <f>F8+F9</f>
        <v>24065.93444160001</v>
      </c>
      <c r="G10" s="9">
        <f>G8+G9</f>
        <v>29829.20241657601</v>
      </c>
      <c r="H10" s="9">
        <f>H8+H9</f>
        <v>36111.541198030085</v>
      </c>
      <c r="I10" s="9">
        <f>I8+I9</f>
        <v>42985.59056377077</v>
      </c>
      <c r="J10" s="9">
        <f>J8+J9</f>
        <v>50532.0859880817</v>
      </c>
      <c r="K10" s="9">
        <f>K8+K9</f>
        <v>58840.86738991045</v>
      </c>
      <c r="L10" s="9">
        <f>L8+L9</f>
        <v>68012.0066949631</v>
      </c>
      <c r="M10" s="9">
        <f>M8+M9</f>
        <v>78157.06860352625</v>
      </c>
      <c r="N10" s="9">
        <f>N8+N9</f>
        <v>89400.52067480698</v>
      </c>
      <c r="O10" s="9">
        <f>O8+O9</f>
        <v>101881.3107643099</v>
      </c>
      <c r="P10" s="9">
        <f>P8+P9</f>
        <v>115754.6320080416</v>
      </c>
      <c r="Q10" s="9">
        <f>Q8+Q9</f>
        <v>131193.8979639003</v>
      </c>
      <c r="R10" s="9">
        <f>R8+R9</f>
        <v>148392.95322756833</v>
      </c>
      <c r="S10" s="9">
        <f>S8+S9</f>
        <v>167568.5478723966</v>
      </c>
      <c r="T10" s="9">
        <f>T8+T9</f>
        <v>188963.10745915308</v>
      </c>
      <c r="U10" s="9">
        <f>U8+U9</f>
        <v>212847.83416579606</v>
      </c>
      <c r="V10" s="9">
        <f>V8+V9</f>
        <v>239526.1788485437</v>
      </c>
      <c r="W10" s="9">
        <f>W8+W9</f>
        <v>269337.7286182499</v>
      </c>
      <c r="X10" s="9">
        <f>X8+X9</f>
        <v>302662.5598618479</v>
      </c>
      <c r="Y10" s="9">
        <f>Y8+Y9</f>
        <v>339926.1126261132</v>
      </c>
    </row>
    <row r="11" spans="1:25">
      <c r="A11" t="s">
        <v>280</v>
      </c>
      <c r="B11" s="9">
        <f>IF(OR(B3&lt;Inputs!$B$84,B6&lt;Inputs!$B$85),0,MIN(Inputs!$B$86,1+INT((B3-Inputs!$B$84)/3)))*Inputs!$B$83</f>
        <v>0.0</v>
      </c>
      <c r="C11" s="9">
        <f>IF(OR(C3&lt;Inputs!$B$84,C6&lt;Inputs!$B$85),0,MIN(Inputs!$B$86,1+INT((C3-Inputs!$B$84)/3)))*Inputs!$B$83</f>
        <v>0.0</v>
      </c>
      <c r="D11" s="9">
        <f>IF(OR(D3&lt;Inputs!$B$84,D6&lt;Inputs!$B$85),0,MIN(Inputs!$B$86,1+INT((D3-Inputs!$B$84)/3)))*Inputs!$B$83</f>
        <v>0.0</v>
      </c>
      <c r="E11" s="9">
        <f>IF(OR(E3&lt;Inputs!$B$84,E6&lt;Inputs!$B$85),0,MIN(Inputs!$B$86,1+INT((E3-Inputs!$B$84)/3)))*Inputs!$B$83</f>
        <v>0.0</v>
      </c>
      <c r="F11" s="9">
        <f>IF(OR(F3&lt;Inputs!$B$84,F6&lt;Inputs!$B$85),0,MIN(Inputs!$B$86,1+INT((F3-Inputs!$B$84)/3)))*Inputs!$B$83</f>
        <v>0.0</v>
      </c>
      <c r="G11" s="9">
        <f>IF(OR(G3&lt;Inputs!$B$84,G6&lt;Inputs!$B$85),0,MIN(Inputs!$B$86,1+INT((G3-Inputs!$B$84)/3)))*Inputs!$B$83</f>
        <v>0.0</v>
      </c>
      <c r="H11" s="9">
        <f>IF(OR(H3&lt;Inputs!$B$84,H6&lt;Inputs!$B$85),0,MIN(Inputs!$B$86,1+INT((H3-Inputs!$B$84)/3)))*Inputs!$B$83</f>
        <v>0.0</v>
      </c>
      <c r="I11" s="9">
        <f>IF(OR(I3&lt;Inputs!$B$84,I6&lt;Inputs!$B$85),0,MIN(Inputs!$B$86,1+INT((I3-Inputs!$B$84)/3)))*Inputs!$B$83</f>
        <v>0.0</v>
      </c>
      <c r="J11" s="9">
        <f>IF(OR(J3&lt;Inputs!$B$84,J6&lt;Inputs!$B$85),0,MIN(Inputs!$B$86,1+INT((J3-Inputs!$B$84)/3)))*Inputs!$B$83</f>
        <v>0.0</v>
      </c>
      <c r="K11" s="9">
        <f>IF(OR(K3&lt;Inputs!$B$84,K6&lt;Inputs!$B$85),0,MIN(Inputs!$B$86,1+INT((K3-Inputs!$B$84)/3)))*Inputs!$B$83</f>
        <v>0.0</v>
      </c>
      <c r="L11" s="9">
        <f>IF(OR(L3&lt;Inputs!$B$84,L6&lt;Inputs!$B$85),0,MIN(Inputs!$B$86,1+INT((L3-Inputs!$B$84)/3)))*Inputs!$B$83</f>
        <v>0.0</v>
      </c>
      <c r="M11" s="9">
        <f>IF(OR(M3&lt;Inputs!$B$84,M6&lt;Inputs!$B$85),0,MIN(Inputs!$B$86,1+INT((M3-Inputs!$B$84)/3)))*Inputs!$B$83</f>
        <v>0.0</v>
      </c>
      <c r="N11" s="9">
        <f>IF(OR(N3&lt;Inputs!$B$84,N6&lt;Inputs!$B$85),0,MIN(Inputs!$B$86,1+INT((N3-Inputs!$B$84)/3)))*Inputs!$B$83</f>
        <v>75000.0</v>
      </c>
      <c r="O11" s="9">
        <f>IF(OR(O3&lt;Inputs!$B$84,O6&lt;Inputs!$B$85),0,MIN(Inputs!$B$86,1+INT((O3-Inputs!$B$84)/3)))*Inputs!$B$83</f>
        <v>75000.0</v>
      </c>
      <c r="P11" s="9">
        <f>IF(OR(P3&lt;Inputs!$B$84,P6&lt;Inputs!$B$85),0,MIN(Inputs!$B$86,1+INT((P3-Inputs!$B$84)/3)))*Inputs!$B$83</f>
        <v>75000.0</v>
      </c>
      <c r="Q11" s="9">
        <f>IF(OR(Q3&lt;Inputs!$B$84,Q6&lt;Inputs!$B$85),0,MIN(Inputs!$B$86,1+INT((Q3-Inputs!$B$84)/3)))*Inputs!$B$83</f>
        <v>75000.0</v>
      </c>
      <c r="R11" s="9">
        <f>IF(OR(R3&lt;Inputs!$B$84,R6&lt;Inputs!$B$85),0,MIN(Inputs!$B$86,1+INT((R3-Inputs!$B$84)/3)))*Inputs!$B$83</f>
        <v>75000.0</v>
      </c>
      <c r="S11" s="9">
        <f>IF(OR(S3&lt;Inputs!$B$84,S6&lt;Inputs!$B$85),0,MIN(Inputs!$B$86,1+INT((S3-Inputs!$B$84)/3)))*Inputs!$B$83</f>
        <v>75000.0</v>
      </c>
      <c r="T11" s="9">
        <f>IF(OR(T3&lt;Inputs!$B$84,T6&lt;Inputs!$B$85),0,MIN(Inputs!$B$86,1+INT((T3-Inputs!$B$84)/3)))*Inputs!$B$83</f>
        <v>75000.0</v>
      </c>
      <c r="U11" s="9">
        <f>IF(OR(U3&lt;Inputs!$B$84,U6&lt;Inputs!$B$85),0,MIN(Inputs!$B$86,1+INT((U3-Inputs!$B$84)/3)))*Inputs!$B$83</f>
        <v>75000.0</v>
      </c>
      <c r="V11" s="9">
        <f>IF(OR(V3&lt;Inputs!$B$84,V6&lt;Inputs!$B$85),0,MIN(Inputs!$B$86,1+INT((V3-Inputs!$B$84)/3)))*Inputs!$B$83</f>
        <v>75000.0</v>
      </c>
      <c r="W11" s="9">
        <f>IF(OR(W3&lt;Inputs!$B$84,W6&lt;Inputs!$B$85),0,MIN(Inputs!$B$86,1+INT((W3-Inputs!$B$84)/3)))*Inputs!$B$83</f>
        <v>75000.0</v>
      </c>
      <c r="X11" s="9">
        <f>IF(OR(X3&lt;Inputs!$B$84,X6&lt;Inputs!$B$85),0,MIN(Inputs!$B$86,1+INT((X3-Inputs!$B$84)/3)))*Inputs!$B$83</f>
        <v>75000.0</v>
      </c>
      <c r="Y11" s="9">
        <f>IF(OR(Y3&lt;Inputs!$B$84,Y6&lt;Inputs!$B$85),0,MIN(Inputs!$B$86,1+INT((Y3-Inputs!$B$84)/3)))*Inputs!$B$83</f>
        <v>75000.0</v>
      </c>
    </row>
    <row r="12" spans="1:25">
      <c r="A12" t="s">
        <v>281</v>
      </c>
      <c r="B12" s="9">
        <f>B10+B11</f>
        <v>6360.000000000001</v>
      </c>
      <c r="C12" s="9">
        <f>C10+C11</f>
        <v>10113.600000000002</v>
      </c>
      <c r="D12" s="9">
        <f>D10+D11</f>
        <v>13841.207999999999</v>
      </c>
      <c r="E12" s="9">
        <f>E10+E11</f>
        <v>18756.2904</v>
      </c>
      <c r="F12" s="9">
        <f>F10+F11</f>
        <v>24065.93444160001</v>
      </c>
      <c r="G12" s="9">
        <f>G10+G11</f>
        <v>29829.20241657601</v>
      </c>
      <c r="H12" s="9">
        <f>H10+H11</f>
        <v>36111.541198030085</v>
      </c>
      <c r="I12" s="9">
        <f>I10+I11</f>
        <v>42985.59056377077</v>
      </c>
      <c r="J12" s="9">
        <f>J10+J11</f>
        <v>50532.0859880817</v>
      </c>
      <c r="K12" s="9">
        <f>K10+K11</f>
        <v>58840.86738991045</v>
      </c>
      <c r="L12" s="9">
        <f>L10+L11</f>
        <v>68012.0066949631</v>
      </c>
      <c r="M12" s="9">
        <f>M10+M11</f>
        <v>78157.06860352625</v>
      </c>
      <c r="N12" s="9">
        <f>N10+N11</f>
        <v>164400.52067480696</v>
      </c>
      <c r="O12" s="9">
        <f>O10+O11</f>
        <v>176881.3107643099</v>
      </c>
      <c r="P12" s="9">
        <f>P10+P11</f>
        <v>190754.6320080416</v>
      </c>
      <c r="Q12" s="9">
        <f>Q10+Q11</f>
        <v>206193.8979639003</v>
      </c>
      <c r="R12" s="9">
        <f>R10+R11</f>
        <v>223392.95322756833</v>
      </c>
      <c r="S12" s="9">
        <f>S10+S11</f>
        <v>242568.5478723966</v>
      </c>
      <c r="T12" s="9">
        <f>T10+T11</f>
        <v>263963.10745915305</v>
      </c>
      <c r="U12" s="9">
        <f>U10+U11</f>
        <v>287847.83416579606</v>
      </c>
      <c r="V12" s="9">
        <f>V10+V11</f>
        <v>314526.17884854367</v>
      </c>
      <c r="W12" s="9">
        <f>W10+W11</f>
        <v>344337.7286182499</v>
      </c>
      <c r="X12" s="9">
        <f>X10+X11</f>
        <v>377662.5598618479</v>
      </c>
      <c r="Y12" s="9">
        <f>Y10+Y11</f>
        <v>414926.1126261132</v>
      </c>
    </row>
    <row r="13" spans="1:25">
      <c r="A13" t="s">
        <v>282</v>
      </c>
      <c r="B13" s="9">
        <f>B12*(Inputs!$B$6+Inputs!$B$7)</f>
        <v>572.4000000000001</v>
      </c>
      <c r="C13" s="9">
        <f>C12*(Inputs!$B$6+Inputs!$B$7)</f>
        <v>910.2240000000002</v>
      </c>
      <c r="D13" s="9">
        <f>D12*(Inputs!$B$6+Inputs!$B$7)</f>
        <v>1245.7087199999999</v>
      </c>
      <c r="E13" s="9">
        <f>E12*(Inputs!$B$6+Inputs!$B$7)</f>
        <v>1688.0661360000001</v>
      </c>
      <c r="F13" s="9">
        <f>F12*(Inputs!$B$6+Inputs!$B$7)</f>
        <v>2165.934099744001</v>
      </c>
      <c r="G13" s="9">
        <f>G12*(Inputs!$B$6+Inputs!$B$7)</f>
        <v>2684.6282174918406</v>
      </c>
      <c r="H13" s="9">
        <f>H12*(Inputs!$B$6+Inputs!$B$7)</f>
        <v>3250.0387078227077</v>
      </c>
      <c r="I13" s="9">
        <f>I12*(Inputs!$B$6+Inputs!$B$7)</f>
        <v>3868.703150739369</v>
      </c>
      <c r="J13" s="9">
        <f>J12*(Inputs!$B$6+Inputs!$B$7)</f>
        <v>4547.887738927353</v>
      </c>
      <c r="K13" s="9">
        <f>K12*(Inputs!$B$6+Inputs!$B$7)</f>
        <v>5295.67806509194</v>
      </c>
      <c r="L13" s="9">
        <f>L12*(Inputs!$B$6+Inputs!$B$7)</f>
        <v>6121.080602546679</v>
      </c>
      <c r="M13" s="9">
        <f>M12*(Inputs!$B$6+Inputs!$B$7)</f>
        <v>7034.136174317362</v>
      </c>
      <c r="N13" s="9">
        <f>N12*(Inputs!$B$6+Inputs!$B$7)</f>
        <v>14796.046860732626</v>
      </c>
      <c r="O13" s="9">
        <f>O12*(Inputs!$B$6+Inputs!$B$7)</f>
        <v>15919.31796878789</v>
      </c>
      <c r="P13" s="9">
        <f>P12*(Inputs!$B$6+Inputs!$B$7)</f>
        <v>17167.916880723744</v>
      </c>
      <c r="Q13" s="9">
        <f>Q12*(Inputs!$B$6+Inputs!$B$7)</f>
        <v>18557.450816751025</v>
      </c>
      <c r="R13" s="9">
        <f>R12*(Inputs!$B$6+Inputs!$B$7)</f>
        <v>20105.365790481148</v>
      </c>
      <c r="S13" s="9">
        <f>S12*(Inputs!$B$6+Inputs!$B$7)</f>
        <v>21831.16930851569</v>
      </c>
      <c r="T13" s="9">
        <f>T12*(Inputs!$B$6+Inputs!$B$7)</f>
        <v>23756.679671323775</v>
      </c>
      <c r="U13" s="9">
        <f>U12*(Inputs!$B$6+Inputs!$B$7)</f>
        <v>25906.305074921645</v>
      </c>
      <c r="V13" s="9">
        <f>V12*(Inputs!$B$6+Inputs!$B$7)</f>
        <v>28307.35609636893</v>
      </c>
      <c r="W13" s="9">
        <f>W12*(Inputs!$B$6+Inputs!$B$7)</f>
        <v>30990.395575642488</v>
      </c>
      <c r="X13" s="9">
        <f>X12*(Inputs!$B$6+Inputs!$B$7)</f>
        <v>33989.63038756631</v>
      </c>
      <c r="Y13" s="9">
        <f>Y12*(Inputs!$B$6+Inputs!$B$7)</f>
        <v>37343.350136350185</v>
      </c>
    </row>
    <row r="14" spans="1:25">
      <c r="A14" t="s">
        <v>283</v>
      </c>
      <c r="B14" s="9">
        <f>B5*Inputs!$B$115+Inputs!$B$111+B5/1000*Inputs!$B$59</f>
        <v>32.56524328</v>
      </c>
      <c r="C14" s="9">
        <f>C5*Inputs!$B$115+Inputs!$B$111+C5/1000*Inputs!$B$59</f>
        <v>38.2354411568</v>
      </c>
      <c r="D14" s="9">
        <f>D5*Inputs!$B$115+Inputs!$B$111+D5/1000*Inputs!$B$59</f>
        <v>44.284365457823995</v>
      </c>
      <c r="E14" s="9">
        <f>E5*Inputs!$B$115+Inputs!$B$111+E5/1000*Inputs!$B$59</f>
        <v>50.7755651932384</v>
      </c>
      <c r="F14" s="9">
        <f>F5*Inputs!$B$115+Inputs!$B$111+F5/1000*Inputs!$B$59</f>
        <v>57.779129144074005</v>
      </c>
      <c r="G14" s="9">
        <f>G5*Inputs!$B$115+Inputs!$B$111+G5/1000*Inputs!$B$59</f>
        <v>65.37253580135105</v>
      </c>
      <c r="H14" s="9">
        <f>H5*Inputs!$B$115+Inputs!$B$111+H5/1000*Inputs!$B$59</f>
        <v>73.64160138790206</v>
      </c>
      <c r="I14" s="9">
        <f>I5*Inputs!$B$115+Inputs!$B$111+I5/1000*Inputs!$B$59</f>
        <v>82.68153796741585</v>
      </c>
      <c r="J14" s="9">
        <f>J5*Inputs!$B$115+Inputs!$B$111+J5/1000*Inputs!$B$59</f>
        <v>92.59813507169338</v>
      </c>
      <c r="K14" s="9">
        <f>K5*Inputs!$B$115+Inputs!$B$111+K5/1000*Inputs!$B$59</f>
        <v>103.50907987559293</v>
      </c>
      <c r="L14" s="9">
        <f>L5*Inputs!$B$115+Inputs!$B$111+L5/1000*Inputs!$B$59</f>
        <v>115.54543274024266</v>
      </c>
      <c r="M14" s="9">
        <f>M5*Inputs!$B$115+Inputs!$B$111+M5/1000*Inputs!$B$59</f>
        <v>128.85327695187567</v>
      </c>
      <c r="N14" s="9">
        <f>N5*Inputs!$B$115+Inputs!$B$111+N5/1000*Inputs!$B$59</f>
        <v>143.59556373193638</v>
      </c>
      <c r="O14" s="9">
        <f>O5*Inputs!$B$115+Inputs!$B$111+O5/1000*Inputs!$B$59</f>
        <v>159.95417611285427</v>
      </c>
      <c r="P14" s="9">
        <f>P5*Inputs!$B$115+Inputs!$B$111+P5/1000*Inputs!$B$59</f>
        <v>178.13223809549714</v>
      </c>
      <c r="Q14" s="9">
        <f>Q5*Inputs!$B$115+Inputs!$B$111+Q5/1000*Inputs!$B$59</f>
        <v>198.35669866511117</v>
      </c>
      <c r="R14" s="9">
        <f>R5*Inputs!$B$115+Inputs!$B$111+R5/1000*Inputs!$B$59</f>
        <v>220.88122378318963</v>
      </c>
      <c r="S14" s="9">
        <f>S5*Inputs!$B$115+Inputs!$B$111+S5/1000*Inputs!$B$59</f>
        <v>245.98943343874157</v>
      </c>
      <c r="T14" s="9">
        <f>T5*Inputs!$B$115+Inputs!$B$111+T5/1000*Inputs!$B$59</f>
        <v>273.9985252848656</v>
      </c>
      <c r="U14" s="9">
        <f>U5*Inputs!$B$115+Inputs!$B$111+U5/1000*Inputs!$B$59</f>
        <v>305.26333136251594</v>
      </c>
      <c r="V14" s="9">
        <f>V5*Inputs!$B$115+Inputs!$B$111+V5/1000*Inputs!$B$59</f>
        <v>340.1808599868765</v>
      </c>
      <c r="W14" s="9">
        <f>W5*Inputs!$B$115+Inputs!$B$111+W5/1000*Inputs!$B$59</f>
        <v>379.1953811145087</v>
      </c>
      <c r="X14" s="9">
        <f>X5*Inputs!$B$115+Inputs!$B$111+X5/1000*Inputs!$B$59</f>
        <v>422.8041205017044</v>
      </c>
      <c r="Y14" s="9">
        <f>Y5*Inputs!$B$115+Inputs!$B$111+Y5/1000*Inputs!$B$59</f>
        <v>471.5636357961563</v>
      </c>
    </row>
    <row r="15" spans="1:25">
      <c r="A15" t="s">
        <v>284</v>
      </c>
      <c r="B15" s="9">
        <f>IF(B5&lt;=0,Inputs!$B$66,IF(B5&lt;=Inputs!$B$68,Inputs!$B$67,IF(B5&lt;=Inputs!$B$70,Inputs!$B$69,Inputs!$B$71)))</f>
        <v>3800.0</v>
      </c>
      <c r="C15" s="9">
        <f>IF(C5&lt;=0,Inputs!$B$66,IF(C5&lt;=Inputs!$B$68,Inputs!$B$67,IF(C5&lt;=Inputs!$B$70,Inputs!$B$69,Inputs!$B$71)))</f>
        <v>3800.0</v>
      </c>
      <c r="D15" s="9">
        <f>IF(D5&lt;=0,Inputs!$B$66,IF(D5&lt;=Inputs!$B$68,Inputs!$B$67,IF(D5&lt;=Inputs!$B$70,Inputs!$B$69,Inputs!$B$71)))</f>
        <v>3800.0</v>
      </c>
      <c r="E15" s="9">
        <f>IF(E5&lt;=0,Inputs!$B$66,IF(E5&lt;=Inputs!$B$68,Inputs!$B$67,IF(E5&lt;=Inputs!$B$70,Inputs!$B$69,Inputs!$B$71)))</f>
        <v>3800.0</v>
      </c>
      <c r="F15" s="9">
        <f>IF(F5&lt;=0,Inputs!$B$66,IF(F5&lt;=Inputs!$B$68,Inputs!$B$67,IF(F5&lt;=Inputs!$B$70,Inputs!$B$69,Inputs!$B$71)))</f>
        <v>14800.0</v>
      </c>
      <c r="G15" s="9">
        <f>IF(G5&lt;=0,Inputs!$B$66,IF(G5&lt;=Inputs!$B$68,Inputs!$B$67,IF(G5&lt;=Inputs!$B$70,Inputs!$B$69,Inputs!$B$71)))</f>
        <v>14800.0</v>
      </c>
      <c r="H15" s="9">
        <f>IF(H5&lt;=0,Inputs!$B$66,IF(H5&lt;=Inputs!$B$68,Inputs!$B$67,IF(H5&lt;=Inputs!$B$70,Inputs!$B$69,Inputs!$B$71)))</f>
        <v>14800.0</v>
      </c>
      <c r="I15" s="9">
        <f>IF(I5&lt;=0,Inputs!$B$66,IF(I5&lt;=Inputs!$B$68,Inputs!$B$67,IF(I5&lt;=Inputs!$B$70,Inputs!$B$69,Inputs!$B$71)))</f>
        <v>14800.0</v>
      </c>
      <c r="J15" s="9">
        <f>IF(J5&lt;=0,Inputs!$B$66,IF(J5&lt;=Inputs!$B$68,Inputs!$B$67,IF(J5&lt;=Inputs!$B$70,Inputs!$B$69,Inputs!$B$71)))</f>
        <v>14800.0</v>
      </c>
      <c r="K15" s="9">
        <f>IF(K5&lt;=0,Inputs!$B$66,IF(K5&lt;=Inputs!$B$68,Inputs!$B$67,IF(K5&lt;=Inputs!$B$70,Inputs!$B$69,Inputs!$B$71)))</f>
        <v>14800.0</v>
      </c>
      <c r="L15" s="9">
        <f>IF(L5&lt;=0,Inputs!$B$66,IF(L5&lt;=Inputs!$B$68,Inputs!$B$67,IF(L5&lt;=Inputs!$B$70,Inputs!$B$69,Inputs!$B$71)))</f>
        <v>14800.0</v>
      </c>
      <c r="M15" s="9">
        <f>IF(M5&lt;=0,Inputs!$B$66,IF(M5&lt;=Inputs!$B$68,Inputs!$B$67,IF(M5&lt;=Inputs!$B$70,Inputs!$B$69,Inputs!$B$71)))</f>
        <v>14800.0</v>
      </c>
      <c r="N15" s="9">
        <f>IF(N5&lt;=0,Inputs!$B$66,IF(N5&lt;=Inputs!$B$68,Inputs!$B$67,IF(N5&lt;=Inputs!$B$70,Inputs!$B$69,Inputs!$B$71)))</f>
        <v>34800.0</v>
      </c>
      <c r="O15" s="9">
        <f>IF(O5&lt;=0,Inputs!$B$66,IF(O5&lt;=Inputs!$B$68,Inputs!$B$67,IF(O5&lt;=Inputs!$B$70,Inputs!$B$69,Inputs!$B$71)))</f>
        <v>34800.0</v>
      </c>
      <c r="P15" s="9">
        <f>IF(P5&lt;=0,Inputs!$B$66,IF(P5&lt;=Inputs!$B$68,Inputs!$B$67,IF(P5&lt;=Inputs!$B$70,Inputs!$B$69,Inputs!$B$71)))</f>
        <v>34800.0</v>
      </c>
      <c r="Q15" s="9">
        <f>IF(Q5&lt;=0,Inputs!$B$66,IF(Q5&lt;=Inputs!$B$68,Inputs!$B$67,IF(Q5&lt;=Inputs!$B$70,Inputs!$B$69,Inputs!$B$71)))</f>
        <v>34800.0</v>
      </c>
      <c r="R15" s="9">
        <f>IF(R5&lt;=0,Inputs!$B$66,IF(R5&lt;=Inputs!$B$68,Inputs!$B$67,IF(R5&lt;=Inputs!$B$70,Inputs!$B$69,Inputs!$B$71)))</f>
        <v>34800.0</v>
      </c>
      <c r="S15" s="9">
        <f>IF(S5&lt;=0,Inputs!$B$66,IF(S5&lt;=Inputs!$B$68,Inputs!$B$67,IF(S5&lt;=Inputs!$B$70,Inputs!$B$69,Inputs!$B$71)))</f>
        <v>34800.0</v>
      </c>
      <c r="T15" s="9">
        <f>IF(T5&lt;=0,Inputs!$B$66,IF(T5&lt;=Inputs!$B$68,Inputs!$B$67,IF(T5&lt;=Inputs!$B$70,Inputs!$B$69,Inputs!$B$71)))</f>
        <v>34800.0</v>
      </c>
      <c r="U15" s="9">
        <f>IF(U5&lt;=0,Inputs!$B$66,IF(U5&lt;=Inputs!$B$68,Inputs!$B$67,IF(U5&lt;=Inputs!$B$70,Inputs!$B$69,Inputs!$B$71)))</f>
        <v>34800.0</v>
      </c>
      <c r="V15" s="9">
        <f>IF(V5&lt;=0,Inputs!$B$66,IF(V5&lt;=Inputs!$B$68,Inputs!$B$67,IF(V5&lt;=Inputs!$B$70,Inputs!$B$69,Inputs!$B$71)))</f>
        <v>34800.0</v>
      </c>
      <c r="W15" s="9">
        <f>IF(W5&lt;=0,Inputs!$B$66,IF(W5&lt;=Inputs!$B$68,Inputs!$B$67,IF(W5&lt;=Inputs!$B$70,Inputs!$B$69,Inputs!$B$71)))</f>
        <v>34800.0</v>
      </c>
      <c r="X15" s="9">
        <f>IF(X5&lt;=0,Inputs!$B$66,IF(X5&lt;=Inputs!$B$68,Inputs!$B$67,IF(X5&lt;=Inputs!$B$70,Inputs!$B$69,Inputs!$B$71)))</f>
        <v>34800.0</v>
      </c>
      <c r="Y15" s="9">
        <f>IF(Y5&lt;=0,Inputs!$B$66,IF(Y5&lt;=Inputs!$B$68,Inputs!$B$67,IF(Y5&lt;=Inputs!$B$70,Inputs!$B$69,Inputs!$B$71)))</f>
        <v>34800.0</v>
      </c>
    </row>
    <row r="16" spans="1:25">
      <c r="A16" t="s">
        <v>285</v>
      </c>
      <c r="B16" s="9">
        <f>IF(OR(B3=1,AND(B3&gt;1,MOD(B3-1,12)=0)),Inputs!$B$93,0)</f>
        <v>1000.0</v>
      </c>
      <c r="C16" s="9">
        <f>IF(OR(C3=1,AND(C3&gt;1,MOD(C3-1,12)=0)),Inputs!$B$93,0)</f>
        <v>0.0</v>
      </c>
      <c r="D16" s="9">
        <f>IF(OR(D3=1,AND(D3&gt;1,MOD(D3-1,12)=0)),Inputs!$B$93,0)</f>
        <v>0.0</v>
      </c>
      <c r="E16" s="9">
        <f>IF(OR(E3=1,AND(E3&gt;1,MOD(E3-1,12)=0)),Inputs!$B$93,0)</f>
        <v>0.0</v>
      </c>
      <c r="F16" s="9">
        <f>IF(OR(F3=1,AND(F3&gt;1,MOD(F3-1,12)=0)),Inputs!$B$93,0)</f>
        <v>0.0</v>
      </c>
      <c r="G16" s="9">
        <f>IF(OR(G3=1,AND(G3&gt;1,MOD(G3-1,12)=0)),Inputs!$B$93,0)</f>
        <v>0.0</v>
      </c>
      <c r="H16" s="9">
        <f>IF(OR(H3=1,AND(H3&gt;1,MOD(H3-1,12)=0)),Inputs!$B$93,0)</f>
        <v>0.0</v>
      </c>
      <c r="I16" s="9">
        <f>IF(OR(I3=1,AND(I3&gt;1,MOD(I3-1,12)=0)),Inputs!$B$93,0)</f>
        <v>0.0</v>
      </c>
      <c r="J16" s="9">
        <f>IF(OR(J3=1,AND(J3&gt;1,MOD(J3-1,12)=0)),Inputs!$B$93,0)</f>
        <v>0.0</v>
      </c>
      <c r="K16" s="9">
        <f>IF(OR(K3=1,AND(K3&gt;1,MOD(K3-1,12)=0)),Inputs!$B$93,0)</f>
        <v>0.0</v>
      </c>
      <c r="L16" s="9">
        <f>IF(OR(L3=1,AND(L3&gt;1,MOD(L3-1,12)=0)),Inputs!$B$93,0)</f>
        <v>0.0</v>
      </c>
      <c r="M16" s="9">
        <f>IF(OR(M3=1,AND(M3&gt;1,MOD(M3-1,12)=0)),Inputs!$B$93,0)</f>
        <v>0.0</v>
      </c>
      <c r="N16" s="9">
        <f>IF(OR(N3=1,AND(N3&gt;1,MOD(N3-1,12)=0)),Inputs!$B$93,0)</f>
        <v>1000.0</v>
      </c>
      <c r="O16" s="9">
        <f>IF(OR(O3=1,AND(O3&gt;1,MOD(O3-1,12)=0)),Inputs!$B$93,0)</f>
        <v>0.0</v>
      </c>
      <c r="P16" s="9">
        <f>IF(OR(P3=1,AND(P3&gt;1,MOD(P3-1,12)=0)),Inputs!$B$93,0)</f>
        <v>0.0</v>
      </c>
      <c r="Q16" s="9">
        <f>IF(OR(Q3=1,AND(Q3&gt;1,MOD(Q3-1,12)=0)),Inputs!$B$93,0)</f>
        <v>0.0</v>
      </c>
      <c r="R16" s="9">
        <f>IF(OR(R3=1,AND(R3&gt;1,MOD(R3-1,12)=0)),Inputs!$B$93,0)</f>
        <v>0.0</v>
      </c>
      <c r="S16" s="9">
        <f>IF(OR(S3=1,AND(S3&gt;1,MOD(S3-1,12)=0)),Inputs!$B$93,0)</f>
        <v>0.0</v>
      </c>
      <c r="T16" s="9">
        <f>IF(OR(T3=1,AND(T3&gt;1,MOD(T3-1,12)=0)),Inputs!$B$93,0)</f>
        <v>0.0</v>
      </c>
      <c r="U16" s="9">
        <f>IF(OR(U3=1,AND(U3&gt;1,MOD(U3-1,12)=0)),Inputs!$B$93,0)</f>
        <v>0.0</v>
      </c>
      <c r="V16" s="9">
        <f>IF(OR(V3=1,AND(V3&gt;1,MOD(V3-1,12)=0)),Inputs!$B$93,0)</f>
        <v>0.0</v>
      </c>
      <c r="W16" s="9">
        <f>IF(OR(W3=1,AND(W3&gt;1,MOD(W3-1,12)=0)),Inputs!$B$93,0)</f>
        <v>0.0</v>
      </c>
      <c r="X16" s="9">
        <f>IF(OR(X3=1,AND(X3&gt;1,MOD(X3-1,12)=0)),Inputs!$B$93,0)</f>
        <v>0.0</v>
      </c>
      <c r="Y16" s="9">
        <f>IF(OR(Y3=1,AND(Y3&gt;1,MOD(Y3-1,12)=0)),Inputs!$B$93,0)</f>
        <v>0.0</v>
      </c>
    </row>
    <row r="17" spans="1:25">
      <c r="A17" t="s">
        <v>286</v>
      </c>
      <c r="B17" s="9">
        <f>IF(B12&gt;=Inputs!$B$63,Inputs!$B$62,0)+Inputs!$B$74+Inputs!$B$75</f>
        <v>2500.0</v>
      </c>
      <c r="C17" s="9">
        <f>IF(C12&gt;=Inputs!$B$63,Inputs!$B$62,0)+Inputs!$B$74+Inputs!$B$75</f>
        <v>6700.0</v>
      </c>
      <c r="D17" s="9">
        <f>IF(D12&gt;=Inputs!$B$63,Inputs!$B$62,0)+Inputs!$B$74+Inputs!$B$75</f>
        <v>6700.0</v>
      </c>
      <c r="E17" s="9">
        <f>IF(E12&gt;=Inputs!$B$63,Inputs!$B$62,0)+Inputs!$B$74+Inputs!$B$75</f>
        <v>6700.0</v>
      </c>
      <c r="F17" s="9">
        <f>IF(F12&gt;=Inputs!$B$63,Inputs!$B$62,0)+Inputs!$B$74+Inputs!$B$75</f>
        <v>6700.0</v>
      </c>
      <c r="G17" s="9">
        <f>IF(G12&gt;=Inputs!$B$63,Inputs!$B$62,0)+Inputs!$B$74+Inputs!$B$75</f>
        <v>6700.0</v>
      </c>
      <c r="H17" s="9">
        <f>IF(H12&gt;=Inputs!$B$63,Inputs!$B$62,0)+Inputs!$B$74+Inputs!$B$75</f>
        <v>6700.0</v>
      </c>
      <c r="I17" s="9">
        <f>IF(I12&gt;=Inputs!$B$63,Inputs!$B$62,0)+Inputs!$B$74+Inputs!$B$75</f>
        <v>6700.0</v>
      </c>
      <c r="J17" s="9">
        <f>IF(J12&gt;=Inputs!$B$63,Inputs!$B$62,0)+Inputs!$B$74+Inputs!$B$75</f>
        <v>6700.0</v>
      </c>
      <c r="K17" s="9">
        <f>IF(K12&gt;=Inputs!$B$63,Inputs!$B$62,0)+Inputs!$B$74+Inputs!$B$75</f>
        <v>6700.0</v>
      </c>
      <c r="L17" s="9">
        <f>IF(L12&gt;=Inputs!$B$63,Inputs!$B$62,0)+Inputs!$B$74+Inputs!$B$75</f>
        <v>6700.0</v>
      </c>
      <c r="M17" s="9">
        <f>IF(M12&gt;=Inputs!$B$63,Inputs!$B$62,0)+Inputs!$B$74+Inputs!$B$75</f>
        <v>6700.0</v>
      </c>
      <c r="N17" s="9">
        <f>IF(N12&gt;=Inputs!$B$63,Inputs!$B$62,0)+Inputs!$B$74+Inputs!$B$75</f>
        <v>6700.0</v>
      </c>
      <c r="O17" s="9">
        <f>IF(O12&gt;=Inputs!$B$63,Inputs!$B$62,0)+Inputs!$B$74+Inputs!$B$75</f>
        <v>6700.0</v>
      </c>
      <c r="P17" s="9">
        <f>IF(P12&gt;=Inputs!$B$63,Inputs!$B$62,0)+Inputs!$B$74+Inputs!$B$75</f>
        <v>6700.0</v>
      </c>
      <c r="Q17" s="9">
        <f>IF(Q12&gt;=Inputs!$B$63,Inputs!$B$62,0)+Inputs!$B$74+Inputs!$B$75</f>
        <v>6700.0</v>
      </c>
      <c r="R17" s="9">
        <f>IF(R12&gt;=Inputs!$B$63,Inputs!$B$62,0)+Inputs!$B$74+Inputs!$B$75</f>
        <v>6700.0</v>
      </c>
      <c r="S17" s="9">
        <f>IF(S12&gt;=Inputs!$B$63,Inputs!$B$62,0)+Inputs!$B$74+Inputs!$B$75</f>
        <v>6700.0</v>
      </c>
      <c r="T17" s="9">
        <f>IF(T12&gt;=Inputs!$B$63,Inputs!$B$62,0)+Inputs!$B$74+Inputs!$B$75</f>
        <v>6700.0</v>
      </c>
      <c r="U17" s="9">
        <f>IF(U12&gt;=Inputs!$B$63,Inputs!$B$62,0)+Inputs!$B$74+Inputs!$B$75</f>
        <v>6700.0</v>
      </c>
      <c r="V17" s="9">
        <f>IF(V12&gt;=Inputs!$B$63,Inputs!$B$62,0)+Inputs!$B$74+Inputs!$B$75</f>
        <v>6700.0</v>
      </c>
      <c r="W17" s="9">
        <f>IF(W12&gt;=Inputs!$B$63,Inputs!$B$62,0)+Inputs!$B$74+Inputs!$B$75</f>
        <v>6700.0</v>
      </c>
      <c r="X17" s="9">
        <f>IF(X12&gt;=Inputs!$B$63,Inputs!$B$62,0)+Inputs!$B$74+Inputs!$B$75</f>
        <v>6700.0</v>
      </c>
      <c r="Y17" s="9">
        <f>IF(Y12&gt;=Inputs!$B$63,Inputs!$B$62,0)+Inputs!$B$74+Inputs!$B$75</f>
        <v>6700.0</v>
      </c>
    </row>
    <row r="18" spans="1:25">
      <c r="A18" t="s">
        <v>287</v>
      </c>
      <c r="B18" s="9">
        <f>B36*B19*IF(B3=1,0.5,1)</f>
        <v>800.0000000000002</v>
      </c>
      <c r="C18" s="9">
        <f>C36*C19*IF(C3=1,0.5,1)</f>
        <v>2096.0000000000005</v>
      </c>
      <c r="D18" s="9">
        <f>D36*D19*IF(D3=1,0.5,1)</f>
        <v>2633.2799999999997</v>
      </c>
      <c r="E18" s="9">
        <f>E36*E19*IF(E3=1,0.5,1)</f>
        <v>3217.888000000001</v>
      </c>
      <c r="F18" s="9">
        <f>F36*F19*IF(F3=1,0.5,1)</f>
        <v>3856.532096000002</v>
      </c>
      <c r="G18" s="9">
        <f>G36*G19*IF(G3=1,0.5,1)</f>
        <v>3417.4977235200013</v>
      </c>
      <c r="H18" s="9">
        <f>H36*H19*IF(H3=1,0.5,1)</f>
        <v>3994.9275674496007</v>
      </c>
      <c r="I18" s="9">
        <f>I36*I19*IF(I3=1,0.5,1)</f>
        <v>4631.609185624322</v>
      </c>
      <c r="J18" s="9">
        <f>J36*J19*IF(J3=1,0.5,1)</f>
        <v>5335.255179375162</v>
      </c>
      <c r="K18" s="9">
        <f>K36*K19*IF(K3=1,0.5,1)</f>
        <v>6114.467518887551</v>
      </c>
      <c r="L18" s="9">
        <f>L36*L19*IF(L3=1,0.5,1)</f>
        <v>6978.846436062181</v>
      </c>
      <c r="M18" s="9">
        <f>M36*M19*IF(M3=1,0.5,1)</f>
        <v>7939.112254403279</v>
      </c>
      <c r="N18" s="9">
        <f>N36*N19*IF(N3=1,0.5,1)</f>
        <v>40532.58772283023</v>
      </c>
      <c r="O18" s="9">
        <f>O36*O19*IF(O3=1,0.5,1)</f>
        <v>45884.79249256929</v>
      </c>
      <c r="P18" s="9">
        <f>P36*P19*IF(P3=1,0.5,1)</f>
        <v>51849.96418009704</v>
      </c>
      <c r="Q18" s="9">
        <f>Q36*Q19*IF(Q3=1,0.5,1)</f>
        <v>58503.41667482303</v>
      </c>
      <c r="R18" s="9">
        <f>R36*R19*IF(R3=1,0.5,1)</f>
        <v>65929.3960613292</v>
      </c>
      <c r="S18" s="9">
        <f>S36*S19*IF(S3=1,0.5,1)</f>
        <v>74222.15881108449</v>
      </c>
      <c r="T18" s="9">
        <f>T36*T19*IF(T3=1,0.5,1)</f>
        <v>83487.17897746674</v>
      </c>
      <c r="U18" s="9">
        <f>U36*U19*IF(U3=1,0.5,1)</f>
        <v>93842.49989727157</v>
      </c>
      <c r="V18" s="9">
        <f>V36*V19*IF(V3=1,0.5,1)</f>
        <v>105420.24776090262</v>
      </c>
      <c r="W18" s="9">
        <f>W36*W19*IF(W3=1,0.5,1)</f>
        <v>118368.3264956118</v>
      </c>
      <c r="X18" s="9">
        <f>X36*X19*IF(X3=1,0.5,1)</f>
        <v>132852.3157382821</v>
      </c>
      <c r="Y18" s="9">
        <f>Y36*Y19*IF(Y3=1,0.5,1)</f>
        <v>149057.5962862809</v>
      </c>
    </row>
    <row r="19" spans="1:25">
      <c r="A19" t="s">
        <v>288</v>
      </c>
      <c r="B19" s="9">
        <f>IF(B3&lt;=12,Inputs!$B$76,Inputs!$B$77)*IF(B3&gt;=6,1-Inputs!$B$78,1)</f>
        <v>400.0</v>
      </c>
      <c r="C19" s="9">
        <f>IF(C3&lt;=12,Inputs!$B$76,Inputs!$B$77)*IF(C3&gt;=6,1-Inputs!$B$78,1)</f>
        <v>400.0</v>
      </c>
      <c r="D19" s="9">
        <f>IF(D3&lt;=12,Inputs!$B$76,Inputs!$B$77)*IF(D3&gt;=6,1-Inputs!$B$78,1)</f>
        <v>400.0</v>
      </c>
      <c r="E19" s="9">
        <f>IF(E3&lt;=12,Inputs!$B$76,Inputs!$B$77)*IF(E3&gt;=6,1-Inputs!$B$78,1)</f>
        <v>400.0</v>
      </c>
      <c r="F19" s="9">
        <f>IF(F3&lt;=12,Inputs!$B$76,Inputs!$B$77)*IF(F3&gt;=6,1-Inputs!$B$78,1)</f>
        <v>400.0</v>
      </c>
      <c r="G19" s="9">
        <f>IF(G3&lt;=12,Inputs!$B$76,Inputs!$B$77)*IF(G3&gt;=6,1-Inputs!$B$78,1)</f>
        <v>300.0</v>
      </c>
      <c r="H19" s="9">
        <f>IF(H3&lt;=12,Inputs!$B$76,Inputs!$B$77)*IF(H3&gt;=6,1-Inputs!$B$78,1)</f>
        <v>300.0</v>
      </c>
      <c r="I19" s="9">
        <f>IF(I3&lt;=12,Inputs!$B$76,Inputs!$B$77)*IF(I3&gt;=6,1-Inputs!$B$78,1)</f>
        <v>300.0</v>
      </c>
      <c r="J19" s="9">
        <f>IF(J3&lt;=12,Inputs!$B$76,Inputs!$B$77)*IF(J3&gt;=6,1-Inputs!$B$78,1)</f>
        <v>300.0</v>
      </c>
      <c r="K19" s="9">
        <f>IF(K3&lt;=12,Inputs!$B$76,Inputs!$B$77)*IF(K3&gt;=6,1-Inputs!$B$78,1)</f>
        <v>300.0</v>
      </c>
      <c r="L19" s="9">
        <f>IF(L3&lt;=12,Inputs!$B$76,Inputs!$B$77)*IF(L3&gt;=6,1-Inputs!$B$78,1)</f>
        <v>300.0</v>
      </c>
      <c r="M19" s="9">
        <f>IF(M3&lt;=12,Inputs!$B$76,Inputs!$B$77)*IF(M3&gt;=6,1-Inputs!$B$78,1)</f>
        <v>300.0</v>
      </c>
      <c r="N19" s="9">
        <f>IF(N3&lt;=12,Inputs!$B$76,Inputs!$B$77)*IF(N3&gt;=6,1-Inputs!$B$78,1)</f>
        <v>1350.0</v>
      </c>
      <c r="O19" s="9">
        <f>IF(O3&lt;=12,Inputs!$B$76,Inputs!$B$77)*IF(O3&gt;=6,1-Inputs!$B$78,1)</f>
        <v>1350.0</v>
      </c>
      <c r="P19" s="9">
        <f>IF(P3&lt;=12,Inputs!$B$76,Inputs!$B$77)*IF(P3&gt;=6,1-Inputs!$B$78,1)</f>
        <v>1350.0</v>
      </c>
      <c r="Q19" s="9">
        <f>IF(Q3&lt;=12,Inputs!$B$76,Inputs!$B$77)*IF(Q3&gt;=6,1-Inputs!$B$78,1)</f>
        <v>1350.0</v>
      </c>
      <c r="R19" s="9">
        <f>IF(R3&lt;=12,Inputs!$B$76,Inputs!$B$77)*IF(R3&gt;=6,1-Inputs!$B$78,1)</f>
        <v>1350.0</v>
      </c>
      <c r="S19" s="9">
        <f>IF(S3&lt;=12,Inputs!$B$76,Inputs!$B$77)*IF(S3&gt;=6,1-Inputs!$B$78,1)</f>
        <v>1350.0</v>
      </c>
      <c r="T19" s="9">
        <f>IF(T3&lt;=12,Inputs!$B$76,Inputs!$B$77)*IF(T3&gt;=6,1-Inputs!$B$78,1)</f>
        <v>1350.0</v>
      </c>
      <c r="U19" s="9">
        <f>IF(U3&lt;=12,Inputs!$B$76,Inputs!$B$77)*IF(U3&gt;=6,1-Inputs!$B$78,1)</f>
        <v>1350.0</v>
      </c>
      <c r="V19" s="9">
        <f>IF(V3&lt;=12,Inputs!$B$76,Inputs!$B$77)*IF(V3&gt;=6,1-Inputs!$B$78,1)</f>
        <v>1350.0</v>
      </c>
      <c r="W19" s="9">
        <f>IF(W3&lt;=12,Inputs!$B$76,Inputs!$B$77)*IF(W3&gt;=6,1-Inputs!$B$78,1)</f>
        <v>1350.0</v>
      </c>
      <c r="X19" s="9">
        <f>IF(X3&lt;=12,Inputs!$B$76,Inputs!$B$77)*IF(X3&gt;=6,1-Inputs!$B$78,1)</f>
        <v>1350.0</v>
      </c>
      <c r="Y19" s="9">
        <f>IF(Y3&lt;=12,Inputs!$B$76,Inputs!$B$77)*IF(Y3&gt;=6,1-Inputs!$B$78,1)</f>
        <v>1350.0</v>
      </c>
    </row>
    <row r="20" spans="1:25">
      <c r="A20" t="s">
        <v>289</v>
      </c>
      <c r="B20" s="9">
        <f>B12-B13-B14</f>
        <v>5755.034756720001</v>
      </c>
      <c r="C20" s="9">
        <f>C12-C13-C14</f>
        <v>9165.140558843203</v>
      </c>
      <c r="D20" s="9">
        <f>D12-D13-D14</f>
        <v>12551.214914542174</v>
      </c>
      <c r="E20" s="9">
        <f>E12-E13-E14</f>
        <v>17017.448698806762</v>
      </c>
      <c r="F20" s="9">
        <f>F12-F13-F14</f>
        <v>21842.221212711935</v>
      </c>
      <c r="G20" s="9">
        <f>G12-G13-G14</f>
        <v>27079.201663282816</v>
      </c>
      <c r="H20" s="9">
        <f>H12-H13-H14</f>
        <v>32787.86088881948</v>
      </c>
      <c r="I20" s="9">
        <f>I12-I13-I14</f>
        <v>39034.205875063984</v>
      </c>
      <c r="J20" s="9">
        <f>J12-J13-J14</f>
        <v>45891.600114082656</v>
      </c>
      <c r="K20" s="9">
        <f>K12-K13-K14</f>
        <v>53441.680244942916</v>
      </c>
      <c r="L20" s="9">
        <f>L12-L13-L14</f>
        <v>61775.38065967618</v>
      </c>
      <c r="M20" s="9">
        <f>M12-M13-M14</f>
        <v>70994.079152257</v>
      </c>
      <c r="N20" s="9">
        <f>N12-N13-N14</f>
        <v>149460.8782503424</v>
      </c>
      <c r="O20" s="9">
        <f>O12-O13-O14</f>
        <v>160802.03861940914</v>
      </c>
      <c r="P20" s="9">
        <f>P12-P13-P14</f>
        <v>173408.58288922237</v>
      </c>
      <c r="Q20" s="9">
        <f>Q12-Q13-Q14</f>
        <v>187438.09044848417</v>
      </c>
      <c r="R20" s="9">
        <f>R12-R13-R14</f>
        <v>203066.706213304</v>
      </c>
      <c r="S20" s="9">
        <f>S12-S13-S14</f>
        <v>220491.38913044214</v>
      </c>
      <c r="T20" s="9">
        <f>T12-T13-T14</f>
        <v>239932.4292625444</v>
      </c>
      <c r="U20" s="9">
        <f>U12-U13-U14</f>
        <v>261636.2657595119</v>
      </c>
      <c r="V20" s="9">
        <f>V12-V13-V14</f>
        <v>285878.6418921879</v>
      </c>
      <c r="W20" s="9">
        <f>W12-W13-W14</f>
        <v>312968.1376614929</v>
      </c>
      <c r="X20" s="9">
        <f>X12-X13-X14</f>
        <v>343250.12535377993</v>
      </c>
      <c r="Y20" s="9">
        <f>Y12-Y13-Y14</f>
        <v>377111.19885396684</v>
      </c>
    </row>
    <row r="21" spans="1:25">
      <c r="A21" t="s">
        <v>290</v>
      </c>
      <c r="B21" s="9">
        <f>B12-B13-B14-B15-B17-B18-B16</f>
        <v>-2344.9652432799994</v>
      </c>
      <c r="C21" s="9">
        <f>C12-C13-C14-C15-C17-C18-C16</f>
        <v>-3430.859441156798</v>
      </c>
      <c r="D21" s="9">
        <f>D12-D13-D14-D15-D17-D18-D16</f>
        <v>-582.0650854578262</v>
      </c>
      <c r="E21" s="9">
        <f>E12-E13-E14-E15-E17-E18-E16</f>
        <v>3299.560698806761</v>
      </c>
      <c r="F21" s="9">
        <f>F12-F13-F14-F15-F17-F18-F16</f>
        <v>-3514.3108832880675</v>
      </c>
      <c r="G21" s="9">
        <f>G12-G13-G14-G15-G17-G18-G16</f>
        <v>2161.703939762815</v>
      </c>
      <c r="H21" s="9">
        <f>H12-H13-H14-H15-H17-H18-H16</f>
        <v>7292.933321369879</v>
      </c>
      <c r="I21" s="9">
        <f>I12-I13-I14-I15-I17-I18-I16</f>
        <v>12902.596689439662</v>
      </c>
      <c r="J21" s="9">
        <f>J12-J13-J14-J15-J17-J18-J16</f>
        <v>19056.344934707493</v>
      </c>
      <c r="K21" s="9">
        <f>K12-K13-K14-K15-K17-K18-K16</f>
        <v>25827.212726055364</v>
      </c>
      <c r="L21" s="9">
        <f>L12-L13-L14-L15-L17-L18-L16</f>
        <v>33296.534223614</v>
      </c>
      <c r="M21" s="9">
        <f>M12-M13-M14-M15-M17-M18-M16</f>
        <v>41554.96689785373</v>
      </c>
      <c r="N21" s="9">
        <f>N12-N13-N14-N15-N17-N18-N16</f>
        <v>66428.29052751216</v>
      </c>
      <c r="O21" s="9">
        <f>O12-O13-O14-O15-O17-O18-O16</f>
        <v>73417.24612683985</v>
      </c>
      <c r="P21" s="9">
        <f>P12-P13-P14-P15-P17-P18-P16</f>
        <v>80058.61870912532</v>
      </c>
      <c r="Q21" s="9">
        <f>Q12-Q13-Q14-Q15-Q17-Q18-Q16</f>
        <v>87434.67377366114</v>
      </c>
      <c r="R21" s="9">
        <f>R12-R13-R14-R15-R17-R18-R16</f>
        <v>95637.31015197479</v>
      </c>
      <c r="S21" s="9">
        <f>S12-S13-S14-S15-S17-S18-S16</f>
        <v>104769.23031935765</v>
      </c>
      <c r="T21" s="9">
        <f>T12-T13-T14-T15-T17-T18-T16</f>
        <v>114945.25028507767</v>
      </c>
      <c r="U21" s="9">
        <f>U12-U13-U14-U15-U17-U18-U16</f>
        <v>126293.76586224034</v>
      </c>
      <c r="V21" s="9">
        <f>V12-V13-V14-V15-V17-V18-V16</f>
        <v>138958.39413128525</v>
      </c>
      <c r="W21" s="9">
        <f>W12-W13-W14-W15-W17-W18-W16</f>
        <v>153099.8111658811</v>
      </c>
      <c r="X21" s="9">
        <f>X12-X13-X14-X15-X17-X18-X16</f>
        <v>168897.80961549783</v>
      </c>
      <c r="Y21" s="9">
        <f>Y12-Y13-Y14-Y15-Y17-Y18-Y16</f>
        <v>186553.60256768594</v>
      </c>
    </row>
    <row r="22" spans="1:25">
      <c r="A22" t="s">
        <v>291</v>
      </c>
      <c r="B22" s="9">
        <f>IF(B21&gt;Inputs!$B$79,MAX(0,Inputs!$B$80*(B21-Inputs!$B$79)),0)</f>
        <v>0.0</v>
      </c>
      <c r="C22" s="9">
        <f>IF(C21&gt;Inputs!$B$79,MAX(0,Inputs!$B$80*(C21-Inputs!$B$79)),0)</f>
        <v>0.0</v>
      </c>
      <c r="D22" s="9">
        <f>IF(D21&gt;Inputs!$B$79,MAX(0,Inputs!$B$80*(D21-Inputs!$B$79)),0)</f>
        <v>0.0</v>
      </c>
      <c r="E22" s="9">
        <f>IF(E21&gt;Inputs!$B$79,MAX(0,Inputs!$B$80*(E21-Inputs!$B$79)),0)</f>
        <v>0.0</v>
      </c>
      <c r="F22" s="9">
        <f>IF(F21&gt;Inputs!$B$79,MAX(0,Inputs!$B$80*(F21-Inputs!$B$79)),0)</f>
        <v>0.0</v>
      </c>
      <c r="G22" s="9">
        <f>IF(G21&gt;Inputs!$B$79,MAX(0,Inputs!$B$80*(G21-Inputs!$B$79)),0)</f>
        <v>0.0</v>
      </c>
      <c r="H22" s="9">
        <f>IF(H21&gt;Inputs!$B$79,MAX(0,Inputs!$B$80*(H21-Inputs!$B$79)),0)</f>
        <v>0.0</v>
      </c>
      <c r="I22" s="9">
        <f>IF(I21&gt;Inputs!$B$79,MAX(0,Inputs!$B$80*(I21-Inputs!$B$79)),0)</f>
        <v>0.0</v>
      </c>
      <c r="J22" s="9">
        <f>IF(J21&gt;Inputs!$B$79,MAX(0,Inputs!$B$80*(J21-Inputs!$B$79)),0)</f>
        <v>0.0</v>
      </c>
      <c r="K22" s="9">
        <f>IF(K21&gt;Inputs!$B$79,MAX(0,Inputs!$B$80*(K21-Inputs!$B$79)),0)</f>
        <v>0.0</v>
      </c>
      <c r="L22" s="9">
        <f>IF(L21&gt;Inputs!$B$79,MAX(0,Inputs!$B$80*(L21-Inputs!$B$79)),0)</f>
        <v>0.0</v>
      </c>
      <c r="M22" s="9">
        <f>IF(M21&gt;Inputs!$B$79,MAX(0,Inputs!$B$80*(M21-Inputs!$B$79)),0)</f>
        <v>0.0</v>
      </c>
      <c r="N22" s="9">
        <f>IF(N21&gt;Inputs!$B$79,MAX(0,Inputs!$B$80*(N21-Inputs!$B$79)),0)</f>
        <v>8214.14526375608</v>
      </c>
      <c r="O22" s="9">
        <f>IF(O21&gt;Inputs!$B$79,MAX(0,Inputs!$B$80*(O21-Inputs!$B$79)),0)</f>
        <v>11708.623063419924</v>
      </c>
      <c r="P22" s="9">
        <f>IF(P21&gt;Inputs!$B$79,MAX(0,Inputs!$B$80*(P21-Inputs!$B$79)),0)</f>
        <v>15029.309354562662</v>
      </c>
      <c r="Q22" s="9">
        <f>IF(Q21&gt;Inputs!$B$79,MAX(0,Inputs!$B$80*(Q21-Inputs!$B$79)),0)</f>
        <v>18717.33688683057</v>
      </c>
      <c r="R22" s="9">
        <f>IF(R21&gt;Inputs!$B$79,MAX(0,Inputs!$B$80*(R21-Inputs!$B$79)),0)</f>
        <v>22818.655075987394</v>
      </c>
      <c r="S22" s="9">
        <f>IF(S21&gt;Inputs!$B$79,MAX(0,Inputs!$B$80*(S21-Inputs!$B$79)),0)</f>
        <v>27384.615159678826</v>
      </c>
      <c r="T22" s="9">
        <f>IF(T21&gt;Inputs!$B$79,MAX(0,Inputs!$B$80*(T21-Inputs!$B$79)),0)</f>
        <v>32472.625142538833</v>
      </c>
      <c r="U22" s="9">
        <f>IF(U21&gt;Inputs!$B$79,MAX(0,Inputs!$B$80*(U21-Inputs!$B$79)),0)</f>
        <v>38146.88293112017</v>
      </c>
      <c r="V22" s="9">
        <f>IF(V21&gt;Inputs!$B$79,MAX(0,Inputs!$B$80*(V21-Inputs!$B$79)),0)</f>
        <v>44479.19706564263</v>
      </c>
      <c r="W22" s="9">
        <f>IF(W21&gt;Inputs!$B$79,MAX(0,Inputs!$B$80*(W21-Inputs!$B$79)),0)</f>
        <v>51549.905582940555</v>
      </c>
      <c r="X22" s="9">
        <f>IF(X21&gt;Inputs!$B$79,MAX(0,Inputs!$B$80*(X21-Inputs!$B$79)),0)</f>
        <v>59448.90480774891</v>
      </c>
      <c r="Y22" s="9">
        <f>IF(Y21&gt;Inputs!$B$79,MAX(0,Inputs!$B$80*(Y21-Inputs!$B$79)),0)</f>
        <v>68276.80128384297</v>
      </c>
    </row>
    <row r="23" spans="1:25">
      <c r="A23" t="s">
        <v>273</v>
      </c>
      <c r="B23" s="9">
        <f>B21-B22</f>
        <v>-2344.9652432799994</v>
      </c>
      <c r="C23" s="9">
        <f>C21-C22</f>
        <v>-3430.859441156798</v>
      </c>
      <c r="D23" s="9">
        <f>D21-D22</f>
        <v>-582.0650854578262</v>
      </c>
      <c r="E23" s="9">
        <f>E21-E22</f>
        <v>3299.560698806761</v>
      </c>
      <c r="F23" s="9">
        <f>F21-F22</f>
        <v>-3514.3108832880675</v>
      </c>
      <c r="G23" s="9">
        <f>G21-G22</f>
        <v>2161.703939762815</v>
      </c>
      <c r="H23" s="9">
        <f>H21-H22</f>
        <v>7292.933321369879</v>
      </c>
      <c r="I23" s="9">
        <f>I21-I22</f>
        <v>12902.596689439662</v>
      </c>
      <c r="J23" s="9">
        <f>J21-J22</f>
        <v>19056.344934707493</v>
      </c>
      <c r="K23" s="9">
        <f>K21-K22</f>
        <v>25827.212726055364</v>
      </c>
      <c r="L23" s="9">
        <f>L21-L22</f>
        <v>33296.534223614</v>
      </c>
      <c r="M23" s="9">
        <f>M21-M22</f>
        <v>41554.96689785373</v>
      </c>
      <c r="N23" s="9">
        <f>N21-N22</f>
        <v>58214.14526375608</v>
      </c>
      <c r="O23" s="9">
        <f>O21-O22</f>
        <v>61708.623063419924</v>
      </c>
      <c r="P23" s="9">
        <f>P21-P22</f>
        <v>65029.30935456266</v>
      </c>
      <c r="Q23" s="9">
        <f>Q21-Q22</f>
        <v>68717.33688683057</v>
      </c>
      <c r="R23" s="9">
        <f>R21-R22</f>
        <v>72818.6550759874</v>
      </c>
      <c r="S23" s="9">
        <f>S21-S22</f>
        <v>77384.61515967883</v>
      </c>
      <c r="T23" s="9">
        <f>T21-T22</f>
        <v>82472.62514253883</v>
      </c>
      <c r="U23" s="9">
        <f>U21-U22</f>
        <v>88146.88293112017</v>
      </c>
      <c r="V23" s="9">
        <f>V21-V22</f>
        <v>94479.19706564263</v>
      </c>
      <c r="W23" s="9">
        <f>W21-W22</f>
        <v>101549.90558294056</v>
      </c>
      <c r="X23" s="9">
        <f>X21-X22</f>
        <v>109448.90480774891</v>
      </c>
      <c r="Y23" s="9">
        <f>Y21-Y22</f>
        <v>118276.80128384297</v>
      </c>
    </row>
    <row r="24" spans="1:25">
      <c r="A24" t="s">
        <v>292</v>
      </c>
      <c r="B24" s="10">
        <f>IF(B12=0,0,B23/B12)</f>
        <v>-0.3687052269308175</v>
      </c>
      <c r="C24" s="10">
        <f>IF(C12=0,0,C23/C12)</f>
        <v>-0.3392322655787056</v>
      </c>
      <c r="D24" s="10">
        <f>IF(D12=0,0,D23/D12)</f>
        <v>-0.04205305530108544</v>
      </c>
      <c r="E24" s="10">
        <f>IF(E12=0,0,E23/E12)</f>
        <v>0.175917552375216</v>
      </c>
      <c r="F24" s="10">
        <f>IF(F12=0,0,F23/F12)</f>
        <v>-0.14602844081604757</v>
      </c>
      <c r="G24" s="10">
        <f>IF(G12=0,0,G23/G12)</f>
        <v>0.07246938451701819</v>
      </c>
      <c r="H24" s="10">
        <f>IF(H12=0,0,H23/H12)</f>
        <v>0.20195574820184398</v>
      </c>
      <c r="I24" s="10">
        <f>IF(I12=0,0,I23/I12)</f>
        <v>0.3001609730195091</v>
      </c>
      <c r="J24" s="10">
        <f>IF(J12=0,0,J23/J12)</f>
        <v>0.3771137597446907</v>
      </c>
      <c r="K24" s="10">
        <f>IF(K12=0,0,K23/K12)</f>
        <v>0.4389332426884653</v>
      </c>
      <c r="L24" s="10">
        <f>IF(L12=0,0,L23/L12)</f>
        <v>0.48956847241620804</v>
      </c>
      <c r="M24" s="10">
        <f>IF(M12=0,0,M23/M12)</f>
        <v>0.5316853310946578</v>
      </c>
      <c r="N24" s="10">
        <f>IF(N12=0,0,N23/N12)</f>
        <v>0.35409951881421825</v>
      </c>
      <c r="O24" s="10">
        <f>IF(O12=0,0,O23/O12)</f>
        <v>0.3488702271414372</v>
      </c>
      <c r="P24" s="10">
        <f>IF(P12=0,0,P23/P12)</f>
        <v>0.3409055322537134</v>
      </c>
      <c r="Q24" s="10">
        <f>IF(Q12=0,0,Q23/Q12)</f>
        <v>0.33326561826219203</v>
      </c>
      <c r="R24" s="10">
        <f>IF(R12=0,0,R23/R12)</f>
        <v>0.3259666610960987</v>
      </c>
      <c r="S24" s="10">
        <f>IF(S12=0,0,S23/S12)</f>
        <v>0.31902163672261036</v>
      </c>
      <c r="T24" s="10">
        <f>IF(T12=0,0,T23/T12)</f>
        <v>0.31243996911690036</v>
      </c>
      <c r="U24" s="10">
        <f>IF(U12=0,0,U23/U12)</f>
        <v>0.3062273620594584</v>
      </c>
      <c r="V24" s="10">
        <f>IF(V12=0,0,V23/V12)</f>
        <v>0.3003857974923542</v>
      </c>
      <c r="W24" s="10">
        <f>IF(W12=0,0,W23/W12)</f>
        <v>0.2949136767278961</v>
      </c>
      <c r="X24" s="10">
        <f>IF(X12=0,0,X23/X12)</f>
        <v>0.2898060767468881</v>
      </c>
      <c r="Y24" s="10">
        <f>IF(Y12=0,0,Y23/Y12)</f>
        <v>0.2850550921831746</v>
      </c>
    </row>
    <row r="26" spans="1:25">
      <c r="A26" t="s">
        <v>297</v>
      </c>
      <c r="B26" s="9">
        <f>SUM(B12:Y12)</f>
        <v>3645060.7797871856</v>
      </c>
    </row>
    <row r="27" spans="1:25">
      <c r="A27" t="s">
        <v>298</v>
      </c>
      <c r="B27" s="9">
        <f>SUM(B9:Y9)</f>
        <v>822609.2586769623</v>
      </c>
    </row>
    <row r="28" spans="1:25">
      <c r="A28" t="s">
        <v>299</v>
      </c>
      <c r="B28" s="9">
        <f>SUM(B14:Y14)</f>
        <v>4225.756531901968</v>
      </c>
    </row>
    <row r="29" spans="1:25">
      <c r="A29" t="s">
        <v>300</v>
      </c>
      <c r="B29" s="9">
        <f>SUM(B15:Y15)</f>
        <v>551200.0</v>
      </c>
    </row>
    <row r="30" spans="1:25">
      <c r="A30" t="s">
        <v>301</v>
      </c>
      <c r="B30" s="9">
        <f>SUM(B18:Y18)</f>
        <v>1070965.8970598711</v>
      </c>
    </row>
    <row r="31" spans="1:25">
      <c r="A31" t="s">
        <v>302</v>
      </c>
      <c r="B31" s="9">
        <f>SUM(B23:Y23)</f>
        <v>1133766.6543964965</v>
      </c>
    </row>
    <row r="32" spans="1:25">
      <c r="A32" t="s">
        <v>303</v>
      </c>
      <c r="B32" s="9">
        <f>SUM(B22:Y22)</f>
        <v>398247.00161806954</v>
      </c>
    </row>
    <row r="33" spans="1:25">
      <c r="A33" s="2" t="s">
        <v>304</v>
      </c>
    </row>
    <row r="36" spans="1:25">
      <c r="A36" t="s">
        <v>293</v>
      </c>
      <c r="B36" s="9">
        <f>B7</f>
        <v>4.000000000000001</v>
      </c>
      <c r="C36" s="9">
        <f>MAX(0,C7-B7*(1-Inputs!$B$30))</f>
        <v>5.240000000000001</v>
      </c>
      <c r="D36" s="9">
        <f>MAX(0,D7-C7*(1-Inputs!$B$30))</f>
        <v>6.5832</v>
      </c>
      <c r="E36" s="9">
        <f>MAX(0,E7-D7*(1-Inputs!$B$30))</f>
        <v>8.044720000000002</v>
      </c>
      <c r="F36" s="9">
        <f>MAX(0,F7-E7*(1-Inputs!$B$30))</f>
        <v>9.641330240000006</v>
      </c>
      <c r="G36" s="9">
        <f>MAX(0,G7-F7*(1-Inputs!$B$30))</f>
        <v>11.391659078400004</v>
      </c>
      <c r="H36" s="9">
        <f>MAX(0,H7-G7*(1-Inputs!$B$30))</f>
        <v>13.316425224832003</v>
      </c>
      <c r="I36" s="9">
        <f>MAX(0,I7-H7*(1-Inputs!$B$30))</f>
        <v>15.438697285414406</v>
      </c>
      <c r="J36" s="9">
        <f>MAX(0,J7-I7*(1-Inputs!$B$30))</f>
        <v>17.78418393125054</v>
      </c>
      <c r="K36" s="9">
        <f>MAX(0,K7-J7*(1-Inputs!$B$30))</f>
        <v>20.381558396291837</v>
      </c>
      <c r="L36" s="9">
        <f>MAX(0,L7-K7*(1-Inputs!$B$30))</f>
        <v>23.262821453540603</v>
      </c>
      <c r="M36" s="9">
        <f>MAX(0,M7-L7*(1-Inputs!$B$30))</f>
        <v>26.463707514677594</v>
      </c>
      <c r="N36" s="9">
        <f>MAX(0,N7-M7*(1-Inputs!$B$30))</f>
        <v>30.024139053948318</v>
      </c>
      <c r="O36" s="9">
        <f>MAX(0,O7-N7*(1-Inputs!$B$30))</f>
        <v>33.98873517968096</v>
      </c>
      <c r="P36" s="9">
        <f>MAX(0,P7-O7*(1-Inputs!$B$30))</f>
        <v>38.40738087414596</v>
      </c>
      <c r="Q36" s="9">
        <f>MAX(0,Q7-P7*(1-Inputs!$B$30))</f>
        <v>43.33586420357261</v>
      </c>
      <c r="R36" s="9">
        <f>MAX(0,R7-Q7*(1-Inputs!$B$30))</f>
        <v>48.83658967505866</v>
      </c>
      <c r="S36" s="9">
        <f>MAX(0,S7-R7*(1-Inputs!$B$30))</f>
        <v>54.97937689709963</v>
      </c>
      <c r="T36" s="9">
        <f>MAX(0,T7-S7*(1-Inputs!$B$30))</f>
        <v>61.84235479812351</v>
      </c>
      <c r="U36" s="9">
        <f>MAX(0,U7-T7*(1-Inputs!$B$30))</f>
        <v>69.51296288686783</v>
      </c>
      <c r="V36" s="9">
        <f>MAX(0,V7-U7*(1-Inputs!$B$30))</f>
        <v>78.08907241548343</v>
      </c>
      <c r="W36" s="9">
        <f>MAX(0,W7-V7*(1-Inputs!$B$30))</f>
        <v>87.68024184860133</v>
      </c>
      <c r="X36" s="9">
        <f>MAX(0,X7-W7*(1-Inputs!$B$30))</f>
        <v>98.40912276909785</v>
      </c>
      <c r="Y36" s="9">
        <f>MAX(0,Y7-X7*(1-Inputs!$B$30))</f>
        <v>110.413034286134</v>
      </c>
    </row>
    <row r="37" spans="1:25">
      <c r="A37" t="s">
        <v>294</v>
      </c>
      <c r="B37" s="9">
        <f>B36*Inputs!$B$15</f>
        <v>1.2000000000000002</v>
      </c>
      <c r="C37" s="9">
        <f>C36*Inputs!$B$15</f>
        <v>1.5720000000000003</v>
      </c>
      <c r="D37" s="9">
        <f>D36*Inputs!$B$15</f>
        <v>1.9749599999999998</v>
      </c>
      <c r="E37" s="9">
        <f>E36*Inputs!$B$15</f>
        <v>2.4134160000000002</v>
      </c>
      <c r="F37" s="9">
        <f>F36*Inputs!$B$15</f>
        <v>2.8923990720000017</v>
      </c>
      <c r="G37" s="9">
        <f>G36*Inputs!$B$15</f>
        <v>3.417497723520001</v>
      </c>
      <c r="H37" s="9">
        <f>H36*Inputs!$B$15</f>
        <v>3.9949275674496008</v>
      </c>
      <c r="I37" s="9">
        <f>I36*Inputs!$B$15</f>
        <v>4.631609185624321</v>
      </c>
      <c r="J37" s="9">
        <f>J36*Inputs!$B$15</f>
        <v>5.335255179375161</v>
      </c>
      <c r="K37" s="9">
        <f>K36*Inputs!$B$15</f>
        <v>6.114467518887551</v>
      </c>
      <c r="L37" s="9">
        <f>L36*Inputs!$B$15</f>
        <v>6.978846436062181</v>
      </c>
      <c r="M37" s="9">
        <f>M36*Inputs!$B$15</f>
        <v>7.939112254403278</v>
      </c>
      <c r="N37" s="9">
        <f>N36*Inputs!$B$15</f>
        <v>9.007241716184495</v>
      </c>
      <c r="O37" s="9">
        <f>O36*Inputs!$B$15</f>
        <v>10.196620553904287</v>
      </c>
      <c r="P37" s="9">
        <f>P36*Inputs!$B$15</f>
        <v>11.522214262243788</v>
      </c>
      <c r="Q37" s="9">
        <f>Q36*Inputs!$B$15</f>
        <v>13.000759261071783</v>
      </c>
      <c r="R37" s="9">
        <f>R36*Inputs!$B$15</f>
        <v>14.650976902517598</v>
      </c>
      <c r="S37" s="9">
        <f>S36*Inputs!$B$15</f>
        <v>16.49381306912989</v>
      </c>
      <c r="T37" s="9">
        <f>T36*Inputs!$B$15</f>
        <v>18.552706439437053</v>
      </c>
      <c r="U37" s="9">
        <f>U36*Inputs!$B$15</f>
        <v>20.85388886606035</v>
      </c>
      <c r="V37" s="9">
        <f>V36*Inputs!$B$15</f>
        <v>23.426721724645027</v>
      </c>
      <c r="W37" s="9">
        <f>W36*Inputs!$B$15</f>
        <v>26.304072554580397</v>
      </c>
      <c r="X37" s="9">
        <f>X36*Inputs!$B$15</f>
        <v>29.522736830729354</v>
      </c>
      <c r="Y37" s="9">
        <f>Y36*Inputs!$B$15</f>
        <v>33.1239102858402</v>
      </c>
    </row>
    <row r="38" spans="1:25">
      <c r="A38" t="s">
        <v>295</v>
      </c>
      <c r="B38" s="9">
        <f>SUM(INDEX($B$37:$Y$37,1,MAX(1,B3-Inputs!$B$61+1)):INDEX($B$37:$Y$37,1,B3))</f>
        <v>1.2000000000000002</v>
      </c>
      <c r="C38" s="9">
        <f>SUM(INDEX($B$37:$Y$37,1,MAX(1,C3-Inputs!$B$61+1)):INDEX($B$37:$Y$37,1,C3))</f>
        <v>2.7720000000000002</v>
      </c>
      <c r="D38" s="9">
        <f>SUM(INDEX($B$37:$Y$37,1,MAX(1,D3-Inputs!$B$61+1)):INDEX($B$37:$Y$37,1,D3))</f>
        <v>4.7469600000000005</v>
      </c>
      <c r="E38" s="9">
        <f>SUM(INDEX($B$37:$Y$37,1,MAX(1,E3-Inputs!$B$61+1)):INDEX($B$37:$Y$37,1,E3))</f>
        <v>5.960376</v>
      </c>
      <c r="F38" s="9">
        <f>SUM(INDEX($B$37:$Y$37,1,MAX(1,F3-Inputs!$B$61+1)):INDEX($B$37:$Y$37,1,F3))</f>
        <v>7.280775072000002</v>
      </c>
      <c r="G38" s="9">
        <f>SUM(INDEX($B$37:$Y$37,1,MAX(1,G3-Inputs!$B$61+1)):INDEX($B$37:$Y$37,1,G3))</f>
        <v>8.723312795520002</v>
      </c>
      <c r="H38" s="9">
        <f>SUM(INDEX($B$37:$Y$37,1,MAX(1,H3-Inputs!$B$61+1)):INDEX($B$37:$Y$37,1,H3))</f>
        <v>10.304824362969603</v>
      </c>
      <c r="I38" s="9">
        <f>SUM(INDEX($B$37:$Y$37,1,MAX(1,I3-Inputs!$B$61+1)):INDEX($B$37:$Y$37,1,I3))</f>
        <v>12.044034476593923</v>
      </c>
      <c r="J38" s="9">
        <f>SUM(INDEX($B$37:$Y$37,1,MAX(1,J3-Inputs!$B$61+1)):INDEX($B$37:$Y$37,1,J3))</f>
        <v>13.961791932449083</v>
      </c>
      <c r="K38" s="9">
        <f>SUM(INDEX($B$37:$Y$37,1,MAX(1,K3-Inputs!$B$61+1)):INDEX($B$37:$Y$37,1,K3))</f>
        <v>16.08133188388703</v>
      </c>
      <c r="L38" s="9">
        <f>SUM(INDEX($B$37:$Y$37,1,MAX(1,L3-Inputs!$B$61+1)):INDEX($B$37:$Y$37,1,L3))</f>
        <v>18.428569134324892</v>
      </c>
      <c r="M38" s="9">
        <f>SUM(INDEX($B$37:$Y$37,1,MAX(1,M3-Inputs!$B$61+1)):INDEX($B$37:$Y$37,1,M3))</f>
        <v>21.03242620935301</v>
      </c>
      <c r="N38" s="9">
        <f>SUM(INDEX($B$37:$Y$37,1,MAX(1,N3-Inputs!$B$61+1)):INDEX($B$37:$Y$37,1,N3))</f>
        <v>23.925200406649953</v>
      </c>
      <c r="O38" s="9">
        <f>SUM(INDEX($B$37:$Y$37,1,MAX(1,O3-Inputs!$B$61+1)):INDEX($B$37:$Y$37,1,O3))</f>
        <v>27.14297452449206</v>
      </c>
      <c r="P38" s="9">
        <f>SUM(INDEX($B$37:$Y$37,1,MAX(1,P3-Inputs!$B$61+1)):INDEX($B$37:$Y$37,1,P3))</f>
        <v>30.72607653233257</v>
      </c>
      <c r="Q38" s="9">
        <f>SUM(INDEX($B$37:$Y$37,1,MAX(1,Q3-Inputs!$B$61+1)):INDEX($B$37:$Y$37,1,Q3))</f>
        <v>34.71959407721986</v>
      </c>
      <c r="R38" s="9">
        <f>SUM(INDEX($B$37:$Y$37,1,MAX(1,R3-Inputs!$B$61+1)):INDEX($B$37:$Y$37,1,R3))</f>
        <v>39.17395042583317</v>
      </c>
      <c r="S38" s="9">
        <f>SUM(INDEX($B$37:$Y$37,1,MAX(1,S3-Inputs!$B$61+1)):INDEX($B$37:$Y$37,1,S3))</f>
        <v>44.14554923271927</v>
      </c>
      <c r="T38" s="9">
        <f>SUM(INDEX($B$37:$Y$37,1,MAX(1,T3-Inputs!$B$61+1)):INDEX($B$37:$Y$37,1,T3))</f>
        <v>49.69749641108454</v>
      </c>
      <c r="U38" s="9">
        <f>SUM(INDEX($B$37:$Y$37,1,MAX(1,U3-Inputs!$B$61+1)):INDEX($B$37:$Y$37,1,U3))</f>
        <v>55.90040837462729</v>
      </c>
      <c r="V38" s="9">
        <f>SUM(INDEX($B$37:$Y$37,1,MAX(1,V3-Inputs!$B$61+1)):INDEX($B$37:$Y$37,1,V3))</f>
        <v>62.833317030142425</v>
      </c>
      <c r="W38" s="9">
        <f>SUM(INDEX($B$37:$Y$37,1,MAX(1,W3-Inputs!$B$61+1)):INDEX($B$37:$Y$37,1,W3))</f>
        <v>70.58468314528577</v>
      </c>
      <c r="X38" s="9">
        <f>SUM(INDEX($B$37:$Y$37,1,MAX(1,X3-Inputs!$B$61+1)):INDEX($B$37:$Y$37,1,X3))</f>
        <v>79.25353110995478</v>
      </c>
      <c r="Y38" s="9">
        <f>SUM(INDEX($B$37:$Y$37,1,MAX(1,Y3-Inputs!$B$61+1)):INDEX($B$37:$Y$37,1,Y3))</f>
        <v>88.95071967114995</v>
      </c>
    </row>
    <row r="39" spans="1:25">
      <c r="A39" t="s">
        <v>296</v>
      </c>
      <c r="B39" s="9">
        <f>MAX(0,B7-B38)</f>
        <v>2.8000000000000007</v>
      </c>
      <c r="C39" s="9">
        <f>MAX(0,C7-C38)</f>
        <v>5.468000000000002</v>
      </c>
      <c r="D39" s="9">
        <f>MAX(0,D7-D38)</f>
        <v>8.01624</v>
      </c>
      <c r="E39" s="9">
        <f>MAX(0,E7-E38)</f>
        <v>11.656744000000003</v>
      </c>
      <c r="F39" s="9">
        <f>MAX(0,F7-F38)</f>
        <v>15.573395168000008</v>
      </c>
      <c r="G39" s="9">
        <f>MAX(0,G7-G38)</f>
        <v>19.80897396288001</v>
      </c>
      <c r="H39" s="9">
        <f>MAX(0,H7-H38)</f>
        <v>24.41081593066241</v>
      </c>
      <c r="I39" s="9">
        <f>MAX(0,I7-I38)</f>
        <v>29.431393029044493</v>
      </c>
      <c r="J39" s="9">
        <f>MAX(0,J7-J38)</f>
        <v>34.92896262803027</v>
      </c>
      <c r="K39" s="9">
        <f>MAX(0,K7-K38)</f>
        <v>40.968292432764315</v>
      </c>
      <c r="L39" s="9">
        <f>MAX(0,L7-L38)</f>
        <v>47.621470556704224</v>
      </c>
      <c r="M39" s="9">
        <f>MAX(0,M7-M38)</f>
        <v>54.96881107359643</v>
      </c>
      <c r="N39" s="9">
        <f>MAX(0,N7-N38)</f>
        <v>63.09986660951044</v>
      </c>
      <c r="O39" s="9">
        <f>MAX(0,O7-O38)</f>
        <v>72.11456091730919</v>
      </c>
      <c r="P39" s="9">
        <f>MAX(0,P7-P38)</f>
        <v>82.12445592316433</v>
      </c>
      <c r="Q39" s="9">
        <f>MAX(0,Q7-Q38)</f>
        <v>93.25416946797543</v>
      </c>
      <c r="R39" s="9">
        <f>MAX(0,R7-R38)</f>
        <v>105.64296190812195</v>
      </c>
      <c r="S39" s="9">
        <f>MAX(0,S7-S38)</f>
        <v>119.4465119148467</v>
      </c>
      <c r="T39" s="9">
        <f>MAX(0,T7-T38)</f>
        <v>134.83890424771346</v>
      </c>
      <c r="U39" s="9">
        <f>MAX(0,U7-U38)</f>
        <v>152.01485500633902</v>
      </c>
      <c r="V39" s="9">
        <f>MAX(0,V7-V38)</f>
        <v>171.19220292106576</v>
      </c>
      <c r="W39" s="9">
        <f>MAX(0,W7-W38)</f>
        <v>192.6146986667217</v>
      </c>
      <c r="X39" s="9">
        <f>MAX(0,X7-X38)</f>
        <v>216.55512801814865</v>
      </c>
      <c r="Y39" s="9">
        <f>MAX(0,Y7-Y38)</f>
        <v>243.31880896106162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FormatPr defaultRowHeight="15"/>
  <cols>
    <col min="1" max="1" width="28.7109375" customWidth="1"/>
    <col min="2" max="25" width="11.7109375" customWidth="1"/>
  </cols>
  <sheetData>
    <row r="1" spans="1:25">
      <c r="A1" s="1" t="s">
        <v>305</v>
      </c>
    </row>
    <row r="3" spans="1:25">
      <c r="A3" t="s">
        <v>266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</row>
    <row r="4" spans="1:25">
      <c r="A4" t="s">
        <v>306</v>
      </c>
      <c r="B4" s="9">
        <f>Inputs!$B$92</f>
        <v>30000.0</v>
      </c>
      <c r="C4" s="9">
        <f>B8</f>
        <v>23655.03475672</v>
      </c>
      <c r="D4" s="9">
        <f>C8</f>
        <v>20224.175315563203</v>
      </c>
      <c r="E4" s="9">
        <f>D8</f>
        <v>19642.110230105376</v>
      </c>
      <c r="F4" s="9">
        <f>E8</f>
        <v>22941.670928912135</v>
      </c>
      <c r="G4" s="9">
        <f>F8</f>
        <v>19427.360045624067</v>
      </c>
      <c r="H4" s="9">
        <f>G8</f>
        <v>21589.06398538688</v>
      </c>
      <c r="I4" s="9">
        <f>H8</f>
        <v>28881.997306756763</v>
      </c>
      <c r="J4" s="9">
        <f>I8</f>
        <v>41784.593996196425</v>
      </c>
      <c r="K4" s="9">
        <f>J8</f>
        <v>60840.93893090392</v>
      </c>
      <c r="L4" s="9">
        <f>K8</f>
        <v>86668.15165695928</v>
      </c>
      <c r="M4" s="9">
        <f>L8</f>
        <v>119964.68588057328</v>
      </c>
      <c r="N4" s="9">
        <f>M8</f>
        <v>161519.652778427</v>
      </c>
      <c r="O4" s="9">
        <f>N8</f>
        <v>219733.79804218307</v>
      </c>
      <c r="P4" s="9">
        <f>O8</f>
        <v>281442.421105603</v>
      </c>
      <c r="Q4" s="9">
        <f>P8</f>
        <v>346471.73046016565</v>
      </c>
      <c r="R4" s="9">
        <f>Q8</f>
        <v>415189.0673469962</v>
      </c>
      <c r="S4" s="9">
        <f>R8</f>
        <v>488007.7224229836</v>
      </c>
      <c r="T4" s="9">
        <f>S8</f>
        <v>565392.3375826625</v>
      </c>
      <c r="U4" s="9">
        <f>T8</f>
        <v>647864.9627252013</v>
      </c>
      <c r="V4" s="9">
        <f>U8</f>
        <v>736011.8456563214</v>
      </c>
      <c r="W4" s="9">
        <f>V8</f>
        <v>830491.042721964</v>
      </c>
      <c r="X4" s="9">
        <f>W8</f>
        <v>932040.9483049045</v>
      </c>
      <c r="Y4" s="9">
        <f>X8</f>
        <v>1041489.8531126534</v>
      </c>
    </row>
    <row r="5" spans="1:25">
      <c r="A5" t="s">
        <v>273</v>
      </c>
      <c r="B5" s="9">
        <f>PnL!B23</f>
        <v>-2344.9652432799994</v>
      </c>
      <c r="C5" s="9">
        <f>PnL!C23</f>
        <v>-3430.859441156798</v>
      </c>
      <c r="D5" s="9">
        <f>PnL!D23</f>
        <v>-582.0650854578262</v>
      </c>
      <c r="E5" s="9">
        <f>PnL!E23</f>
        <v>3299.560698806761</v>
      </c>
      <c r="F5" s="9">
        <f>PnL!F23</f>
        <v>-3514.3108832880675</v>
      </c>
      <c r="G5" s="9">
        <f>PnL!G23</f>
        <v>2161.703939762815</v>
      </c>
      <c r="H5" s="9">
        <f>PnL!H23</f>
        <v>7292.933321369879</v>
      </c>
      <c r="I5" s="9">
        <f>PnL!I23</f>
        <v>12902.596689439662</v>
      </c>
      <c r="J5" s="9">
        <f>PnL!J23</f>
        <v>19056.344934707493</v>
      </c>
      <c r="K5" s="9">
        <f>PnL!K23</f>
        <v>25827.212726055364</v>
      </c>
      <c r="L5" s="9">
        <f>PnL!L23</f>
        <v>33296.534223614</v>
      </c>
      <c r="M5" s="9">
        <f>PnL!M23</f>
        <v>41554.96689785373</v>
      </c>
      <c r="N5" s="9">
        <f>PnL!N23</f>
        <v>58214.14526375608</v>
      </c>
      <c r="O5" s="9">
        <f>PnL!O23</f>
        <v>61708.623063419924</v>
      </c>
      <c r="P5" s="9">
        <f>PnL!P23</f>
        <v>65029.30935456266</v>
      </c>
      <c r="Q5" s="9">
        <f>PnL!Q23</f>
        <v>68717.33688683057</v>
      </c>
      <c r="R5" s="9">
        <f>PnL!R23</f>
        <v>72818.6550759874</v>
      </c>
      <c r="S5" s="9">
        <f>PnL!S23</f>
        <v>77384.61515967883</v>
      </c>
      <c r="T5" s="9">
        <f>PnL!T23</f>
        <v>82472.62514253883</v>
      </c>
      <c r="U5" s="9">
        <f>PnL!U23</f>
        <v>88146.88293112017</v>
      </c>
      <c r="V5" s="9">
        <f>PnL!V23</f>
        <v>94479.19706564263</v>
      </c>
      <c r="W5" s="9">
        <f>PnL!W23</f>
        <v>101549.90558294056</v>
      </c>
      <c r="X5" s="9">
        <f>PnL!X23</f>
        <v>109448.90480774891</v>
      </c>
      <c r="Y5" s="9">
        <f>PnL!Y23</f>
        <v>118276.80128384297</v>
      </c>
    </row>
    <row r="6" spans="1:25">
      <c r="A6" t="s">
        <v>307</v>
      </c>
      <c r="B6" s="9">
        <f>IF(B3=1,Inputs!$B$94,0)</f>
        <v>4000.0</v>
      </c>
      <c r="C6" s="9">
        <f>IF(C3=1,Inputs!$B$94,0)</f>
        <v>0.0</v>
      </c>
      <c r="D6" s="9">
        <f>IF(D3=1,Inputs!$B$94,0)</f>
        <v>0.0</v>
      </c>
      <c r="E6" s="9">
        <f>IF(E3=1,Inputs!$B$94,0)</f>
        <v>0.0</v>
      </c>
      <c r="F6" s="9">
        <f>IF(F3=1,Inputs!$B$94,0)</f>
        <v>0.0</v>
      </c>
      <c r="G6" s="9">
        <f>IF(G3=1,Inputs!$B$94,0)</f>
        <v>0.0</v>
      </c>
      <c r="H6" s="9">
        <f>IF(H3=1,Inputs!$B$94,0)</f>
        <v>0.0</v>
      </c>
      <c r="I6" s="9">
        <f>IF(I3=1,Inputs!$B$94,0)</f>
        <v>0.0</v>
      </c>
      <c r="J6" s="9">
        <f>IF(J3=1,Inputs!$B$94,0)</f>
        <v>0.0</v>
      </c>
      <c r="K6" s="9">
        <f>IF(K3=1,Inputs!$B$94,0)</f>
        <v>0.0</v>
      </c>
      <c r="L6" s="9">
        <f>IF(L3=1,Inputs!$B$94,0)</f>
        <v>0.0</v>
      </c>
      <c r="M6" s="9">
        <f>IF(M3=1,Inputs!$B$94,0)</f>
        <v>0.0</v>
      </c>
      <c r="N6" s="9">
        <f>IF(N3=1,Inputs!$B$94,0)</f>
        <v>0.0</v>
      </c>
      <c r="O6" s="9">
        <f>IF(O3=1,Inputs!$B$94,0)</f>
        <v>0.0</v>
      </c>
      <c r="P6" s="9">
        <f>IF(P3=1,Inputs!$B$94,0)</f>
        <v>0.0</v>
      </c>
      <c r="Q6" s="9">
        <f>IF(Q3=1,Inputs!$B$94,0)</f>
        <v>0.0</v>
      </c>
      <c r="R6" s="9">
        <f>IF(R3=1,Inputs!$B$94,0)</f>
        <v>0.0</v>
      </c>
      <c r="S6" s="9">
        <f>IF(S3=1,Inputs!$B$94,0)</f>
        <v>0.0</v>
      </c>
      <c r="T6" s="9">
        <f>IF(T3=1,Inputs!$B$94,0)</f>
        <v>0.0</v>
      </c>
      <c r="U6" s="9">
        <f>IF(U3=1,Inputs!$B$94,0)</f>
        <v>0.0</v>
      </c>
      <c r="V6" s="9">
        <f>IF(V3=1,Inputs!$B$94,0)</f>
        <v>0.0</v>
      </c>
      <c r="W6" s="9">
        <f>IF(W3=1,Inputs!$B$94,0)</f>
        <v>0.0</v>
      </c>
      <c r="X6" s="9">
        <f>IF(X3=1,Inputs!$B$94,0)</f>
        <v>0.0</v>
      </c>
      <c r="Y6" s="9">
        <f>IF(Y3=1,Inputs!$B$94,0)</f>
        <v>0.0</v>
      </c>
    </row>
    <row r="7" spans="1:25">
      <c r="A7" t="s">
        <v>308</v>
      </c>
      <c r="B7" s="9">
        <f>MAX(0,-(B4+B5-B6))</f>
        <v>0.0</v>
      </c>
      <c r="C7" s="9">
        <f>MAX(0,-(C4+C5-C6))</f>
        <v>0.0</v>
      </c>
      <c r="D7" s="9">
        <f>MAX(0,-(D4+D5-D6))</f>
        <v>0.0</v>
      </c>
      <c r="E7" s="9">
        <f>MAX(0,-(E4+E5-E6))</f>
        <v>0.0</v>
      </c>
      <c r="F7" s="9">
        <f>MAX(0,-(F4+F5-F6))</f>
        <v>0.0</v>
      </c>
      <c r="G7" s="9">
        <f>MAX(0,-(G4+G5-G6))</f>
        <v>0.0</v>
      </c>
      <c r="H7" s="9">
        <f>MAX(0,-(H4+H5-H6))</f>
        <v>0.0</v>
      </c>
      <c r="I7" s="9">
        <f>MAX(0,-(I4+I5-I6))</f>
        <v>0.0</v>
      </c>
      <c r="J7" s="9">
        <f>MAX(0,-(J4+J5-J6))</f>
        <v>0.0</v>
      </c>
      <c r="K7" s="9">
        <f>MAX(0,-(K4+K5-K6))</f>
        <v>0.0</v>
      </c>
      <c r="L7" s="9">
        <f>MAX(0,-(L4+L5-L6))</f>
        <v>0.0</v>
      </c>
      <c r="M7" s="9">
        <f>MAX(0,-(M4+M5-M6))</f>
        <v>0.0</v>
      </c>
      <c r="N7" s="9">
        <f>MAX(0,-(N4+N5-N6))</f>
        <v>0.0</v>
      </c>
      <c r="O7" s="9">
        <f>MAX(0,-(O4+O5-O6))</f>
        <v>0.0</v>
      </c>
      <c r="P7" s="9">
        <f>MAX(0,-(P4+P5-P6))</f>
        <v>0.0</v>
      </c>
      <c r="Q7" s="9">
        <f>MAX(0,-(Q4+Q5-Q6))</f>
        <v>0.0</v>
      </c>
      <c r="R7" s="9">
        <f>MAX(0,-(R4+R5-R6))</f>
        <v>0.0</v>
      </c>
      <c r="S7" s="9">
        <f>MAX(0,-(S4+S5-S6))</f>
        <v>0.0</v>
      </c>
      <c r="T7" s="9">
        <f>MAX(0,-(T4+T5-T6))</f>
        <v>0.0</v>
      </c>
      <c r="U7" s="9">
        <f>MAX(0,-(U4+U5-U6))</f>
        <v>0.0</v>
      </c>
      <c r="V7" s="9">
        <f>MAX(0,-(V4+V5-V6))</f>
        <v>0.0</v>
      </c>
      <c r="W7" s="9">
        <f>MAX(0,-(W4+W5-W6))</f>
        <v>0.0</v>
      </c>
      <c r="X7" s="9">
        <f>MAX(0,-(X4+X5-X6))</f>
        <v>0.0</v>
      </c>
      <c r="Y7" s="9">
        <f>MAX(0,-(Y4+Y5-Y6))</f>
        <v>0.0</v>
      </c>
    </row>
    <row r="8" spans="1:25">
      <c r="A8" t="s">
        <v>309</v>
      </c>
      <c r="B8" s="9">
        <f>MAX(0,B4+B5-B6)</f>
        <v>23655.03475672</v>
      </c>
      <c r="C8" s="9">
        <f>MAX(0,C4+C5-C6)</f>
        <v>20224.175315563203</v>
      </c>
      <c r="D8" s="9">
        <f>MAX(0,D4+D5-D6)</f>
        <v>19642.110230105376</v>
      </c>
      <c r="E8" s="9">
        <f>MAX(0,E4+E5-E6)</f>
        <v>22941.670928912135</v>
      </c>
      <c r="F8" s="9">
        <f>MAX(0,F4+F5-F6)</f>
        <v>19427.360045624067</v>
      </c>
      <c r="G8" s="9">
        <f>MAX(0,G4+G5-G6)</f>
        <v>21589.06398538688</v>
      </c>
      <c r="H8" s="9">
        <f>MAX(0,H4+H5-H6)</f>
        <v>28881.997306756763</v>
      </c>
      <c r="I8" s="9">
        <f>MAX(0,I4+I5-I6)</f>
        <v>41784.593996196425</v>
      </c>
      <c r="J8" s="9">
        <f>MAX(0,J4+J5-J6)</f>
        <v>60840.93893090392</v>
      </c>
      <c r="K8" s="9">
        <f>MAX(0,K4+K5-K6)</f>
        <v>86668.15165695928</v>
      </c>
      <c r="L8" s="9">
        <f>MAX(0,L4+L5-L6)</f>
        <v>119964.68588057328</v>
      </c>
      <c r="M8" s="9">
        <f>MAX(0,M4+M5-M6)</f>
        <v>161519.652778427</v>
      </c>
      <c r="N8" s="9">
        <f>MAX(0,N4+N5-N6)</f>
        <v>219733.79804218307</v>
      </c>
      <c r="O8" s="9">
        <f>MAX(0,O4+O5-O6)</f>
        <v>281442.421105603</v>
      </c>
      <c r="P8" s="9">
        <f>MAX(0,P4+P5-P6)</f>
        <v>346471.73046016565</v>
      </c>
      <c r="Q8" s="9">
        <f>MAX(0,Q4+Q5-Q6)</f>
        <v>415189.0673469962</v>
      </c>
      <c r="R8" s="9">
        <f>MAX(0,R4+R5-R6)</f>
        <v>488007.7224229836</v>
      </c>
      <c r="S8" s="9">
        <f>MAX(0,S4+S5-S6)</f>
        <v>565392.3375826625</v>
      </c>
      <c r="T8" s="9">
        <f>MAX(0,T4+T5-T6)</f>
        <v>647864.9627252013</v>
      </c>
      <c r="U8" s="9">
        <f>MAX(0,U4+U5-U6)</f>
        <v>736011.8456563214</v>
      </c>
      <c r="V8" s="9">
        <f>MAX(0,V4+V5-V6)</f>
        <v>830491.042721964</v>
      </c>
      <c r="W8" s="9">
        <f>MAX(0,W4+W5-W6)</f>
        <v>932040.9483049045</v>
      </c>
      <c r="X8" s="9">
        <f>MAX(0,X4+X5-X6)</f>
        <v>1041489.8531126534</v>
      </c>
      <c r="Y8" s="9">
        <f>MAX(0,Y4+Y5-Y6)</f>
        <v>1159766.6543964962</v>
      </c>
    </row>
    <row r="9" spans="1:25">
      <c r="A9" t="s">
        <v>310</v>
      </c>
      <c r="B9" s="9">
        <f>Inputs!$B$89</f>
        <v>300000.0</v>
      </c>
      <c r="C9" s="9">
        <f>B13</f>
        <v>280000.0</v>
      </c>
      <c r="D9" s="9">
        <f>C13</f>
        <v>260000.0</v>
      </c>
      <c r="E9" s="9">
        <f>D13</f>
        <v>240000.0</v>
      </c>
      <c r="F9" s="9">
        <f>E13</f>
        <v>220000.0</v>
      </c>
      <c r="G9" s="9">
        <f>F13</f>
        <v>200000.0</v>
      </c>
      <c r="H9" s="9">
        <f>G13</f>
        <v>180000.0</v>
      </c>
      <c r="I9" s="9">
        <f>H13</f>
        <v>160000.0</v>
      </c>
      <c r="J9" s="9">
        <f>I13</f>
        <v>140000.0</v>
      </c>
      <c r="K9" s="9">
        <f>J13</f>
        <v>120000.0</v>
      </c>
      <c r="L9" s="9">
        <f>K13</f>
        <v>100000.0</v>
      </c>
      <c r="M9" s="9">
        <f>L13</f>
        <v>80000.0</v>
      </c>
      <c r="N9" s="9">
        <f>M13</f>
        <v>60000.0</v>
      </c>
      <c r="O9" s="9">
        <f>N13</f>
        <v>48214.14526375608</v>
      </c>
      <c r="P9" s="9">
        <f>O13</f>
        <v>39922.768327176</v>
      </c>
      <c r="Q9" s="9">
        <f>P13</f>
        <v>34952.077681738665</v>
      </c>
      <c r="R9" s="9">
        <f>Q13</f>
        <v>33669.414568569235</v>
      </c>
      <c r="S9" s="9">
        <f>R13</f>
        <v>36488.06964455663</v>
      </c>
      <c r="T9" s="9">
        <f>S13</f>
        <v>43872.684804235454</v>
      </c>
      <c r="U9" s="9">
        <f>T13</f>
        <v>56345.30994677429</v>
      </c>
      <c r="V9" s="9">
        <f>U13</f>
        <v>74492.19287789446</v>
      </c>
      <c r="W9" s="9">
        <f>V13</f>
        <v>98971.38994353708</v>
      </c>
      <c r="X9" s="9">
        <f>W13</f>
        <v>130521.29552647764</v>
      </c>
      <c r="Y9" s="9">
        <f>X13</f>
        <v>169970.20033422654</v>
      </c>
    </row>
    <row r="10" spans="1:25">
      <c r="A10" t="s">
        <v>311</v>
      </c>
      <c r="B10" s="9">
        <f>Inputs!$B$90</f>
        <v>60000.0</v>
      </c>
      <c r="C10" s="9">
        <f>Inputs!$B$90</f>
        <v>60000.0</v>
      </c>
      <c r="D10" s="9">
        <f>Inputs!$B$90</f>
        <v>60000.0</v>
      </c>
      <c r="E10" s="9">
        <f>Inputs!$B$90</f>
        <v>60000.0</v>
      </c>
      <c r="F10" s="9">
        <f>Inputs!$B$90</f>
        <v>60000.0</v>
      </c>
      <c r="G10" s="9">
        <f>Inputs!$B$90</f>
        <v>60000.0</v>
      </c>
      <c r="H10" s="9">
        <f>Inputs!$B$90</f>
        <v>60000.0</v>
      </c>
      <c r="I10" s="9">
        <f>Inputs!$B$90</f>
        <v>60000.0</v>
      </c>
      <c r="J10" s="9">
        <f>Inputs!$B$90</f>
        <v>60000.0</v>
      </c>
      <c r="K10" s="9">
        <f>Inputs!$B$90</f>
        <v>60000.0</v>
      </c>
      <c r="L10" s="9">
        <f>Inputs!$B$90</f>
        <v>60000.0</v>
      </c>
      <c r="M10" s="9">
        <f>Inputs!$B$90</f>
        <v>60000.0</v>
      </c>
      <c r="N10" s="9">
        <f>Inputs!$B$90</f>
        <v>60000.0</v>
      </c>
      <c r="O10" s="9">
        <f>Inputs!$B$90</f>
        <v>60000.0</v>
      </c>
      <c r="P10" s="9">
        <f>Inputs!$B$90</f>
        <v>60000.0</v>
      </c>
      <c r="Q10" s="9">
        <f>Inputs!$B$90</f>
        <v>60000.0</v>
      </c>
      <c r="R10" s="9">
        <f>Inputs!$B$90</f>
        <v>60000.0</v>
      </c>
      <c r="S10" s="9">
        <f>Inputs!$B$90</f>
        <v>60000.0</v>
      </c>
      <c r="T10" s="9">
        <f>Inputs!$B$90</f>
        <v>60000.0</v>
      </c>
      <c r="U10" s="9">
        <f>Inputs!$B$90</f>
        <v>60000.0</v>
      </c>
      <c r="V10" s="9">
        <f>Inputs!$B$90</f>
        <v>60000.0</v>
      </c>
      <c r="W10" s="9">
        <f>Inputs!$B$90</f>
        <v>60000.0</v>
      </c>
      <c r="X10" s="9">
        <f>Inputs!$B$90</f>
        <v>60000.0</v>
      </c>
      <c r="Y10" s="9">
        <f>Inputs!$B$90</f>
        <v>60000.0</v>
      </c>
    </row>
    <row r="11" spans="1:25">
      <c r="A11" t="s">
        <v>312</v>
      </c>
      <c r="B11" s="9">
        <f>Inputs!$B$91</f>
        <v>40000.0</v>
      </c>
      <c r="C11" s="9">
        <f>Inputs!$B$91</f>
        <v>40000.0</v>
      </c>
      <c r="D11" s="9">
        <f>Inputs!$B$91</f>
        <v>40000.0</v>
      </c>
      <c r="E11" s="9">
        <f>Inputs!$B$91</f>
        <v>40000.0</v>
      </c>
      <c r="F11" s="9">
        <f>Inputs!$B$91</f>
        <v>40000.0</v>
      </c>
      <c r="G11" s="9">
        <f>Inputs!$B$91</f>
        <v>40000.0</v>
      </c>
      <c r="H11" s="9">
        <f>Inputs!$B$91</f>
        <v>40000.0</v>
      </c>
      <c r="I11" s="9">
        <f>Inputs!$B$91</f>
        <v>40000.0</v>
      </c>
      <c r="J11" s="9">
        <f>Inputs!$B$91</f>
        <v>40000.0</v>
      </c>
      <c r="K11" s="9">
        <f>Inputs!$B$91</f>
        <v>40000.0</v>
      </c>
      <c r="L11" s="9">
        <f>Inputs!$B$91</f>
        <v>40000.0</v>
      </c>
      <c r="M11" s="9">
        <f>Inputs!$B$91</f>
        <v>40000.0</v>
      </c>
      <c r="N11" s="9">
        <f>Inputs!$B$91</f>
        <v>40000.0</v>
      </c>
      <c r="O11" s="9">
        <f>Inputs!$B$91</f>
        <v>40000.0</v>
      </c>
      <c r="P11" s="9">
        <f>Inputs!$B$91</f>
        <v>40000.0</v>
      </c>
      <c r="Q11" s="9">
        <f>Inputs!$B$91</f>
        <v>40000.0</v>
      </c>
      <c r="R11" s="9">
        <f>Inputs!$B$91</f>
        <v>40000.0</v>
      </c>
      <c r="S11" s="9">
        <f>Inputs!$B$91</f>
        <v>40000.0</v>
      </c>
      <c r="T11" s="9">
        <f>Inputs!$B$91</f>
        <v>40000.0</v>
      </c>
      <c r="U11" s="9">
        <f>Inputs!$B$91</f>
        <v>40000.0</v>
      </c>
      <c r="V11" s="9">
        <f>Inputs!$B$91</f>
        <v>40000.0</v>
      </c>
      <c r="W11" s="9">
        <f>Inputs!$B$91</f>
        <v>40000.0</v>
      </c>
      <c r="X11" s="9">
        <f>Inputs!$B$91</f>
        <v>40000.0</v>
      </c>
      <c r="Y11" s="9">
        <f>Inputs!$B$91</f>
        <v>40000.0</v>
      </c>
    </row>
    <row r="12" spans="1:25">
      <c r="A12" t="s">
        <v>313</v>
      </c>
      <c r="B12" s="9">
        <f>PnL!B22</f>
        <v>0.0</v>
      </c>
      <c r="C12" s="9">
        <f>PnL!C22</f>
        <v>0.0</v>
      </c>
      <c r="D12" s="9">
        <f>PnL!D22</f>
        <v>0.0</v>
      </c>
      <c r="E12" s="9">
        <f>PnL!E22</f>
        <v>0.0</v>
      </c>
      <c r="F12" s="9">
        <f>PnL!F22</f>
        <v>0.0</v>
      </c>
      <c r="G12" s="9">
        <f>PnL!G22</f>
        <v>0.0</v>
      </c>
      <c r="H12" s="9">
        <f>PnL!H22</f>
        <v>0.0</v>
      </c>
      <c r="I12" s="9">
        <f>PnL!I22</f>
        <v>0.0</v>
      </c>
      <c r="J12" s="9">
        <f>PnL!J22</f>
        <v>0.0</v>
      </c>
      <c r="K12" s="9">
        <f>PnL!K22</f>
        <v>0.0</v>
      </c>
      <c r="L12" s="9">
        <f>PnL!L22</f>
        <v>0.0</v>
      </c>
      <c r="M12" s="9">
        <f>PnL!M22</f>
        <v>0.0</v>
      </c>
      <c r="N12" s="9">
        <f>PnL!N22</f>
        <v>8214.14526375608</v>
      </c>
      <c r="O12" s="9">
        <f>PnL!O22</f>
        <v>11708.623063419924</v>
      </c>
      <c r="P12" s="9">
        <f>PnL!P22</f>
        <v>15029.309354562662</v>
      </c>
      <c r="Q12" s="9">
        <f>PnL!Q22</f>
        <v>18717.33688683057</v>
      </c>
      <c r="R12" s="9">
        <f>PnL!R22</f>
        <v>22818.655075987394</v>
      </c>
      <c r="S12" s="9">
        <f>PnL!S22</f>
        <v>27384.615159678826</v>
      </c>
      <c r="T12" s="9">
        <f>PnL!T22</f>
        <v>32472.625142538833</v>
      </c>
      <c r="U12" s="9">
        <f>PnL!U22</f>
        <v>38146.88293112017</v>
      </c>
      <c r="V12" s="9">
        <f>PnL!V22</f>
        <v>44479.19706564263</v>
      </c>
      <c r="W12" s="9">
        <f>PnL!W22</f>
        <v>51549.905582940555</v>
      </c>
      <c r="X12" s="9">
        <f>PnL!X22</f>
        <v>59448.90480774891</v>
      </c>
      <c r="Y12" s="9">
        <f>PnL!Y22</f>
        <v>68276.80128384297</v>
      </c>
    </row>
    <row r="13" spans="1:25">
      <c r="A13" t="s">
        <v>314</v>
      </c>
      <c r="B13" s="9">
        <f>B9-B10+B11+B12-B7</f>
        <v>280000.0</v>
      </c>
      <c r="C13" s="9">
        <f>C9-C10+C11+C12-C7</f>
        <v>260000.0</v>
      </c>
      <c r="D13" s="9">
        <f>D9-D10+D11+D12-D7</f>
        <v>240000.0</v>
      </c>
      <c r="E13" s="9">
        <f>E9-E10+E11+E12-E7</f>
        <v>220000.0</v>
      </c>
      <c r="F13" s="9">
        <f>F9-F10+F11+F12-F7</f>
        <v>200000.0</v>
      </c>
      <c r="G13" s="9">
        <f>G9-G10+G11+G12-G7</f>
        <v>180000.0</v>
      </c>
      <c r="H13" s="9">
        <f>H9-H10+H11+H12-H7</f>
        <v>160000.0</v>
      </c>
      <c r="I13" s="9">
        <f>I9-I10+I11+I12-I7</f>
        <v>140000.0</v>
      </c>
      <c r="J13" s="9">
        <f>J9-J10+J11+J12-J7</f>
        <v>120000.0</v>
      </c>
      <c r="K13" s="9">
        <f>K9-K10+K11+K12-K7</f>
        <v>100000.0</v>
      </c>
      <c r="L13" s="9">
        <f>L9-L10+L11+L12-L7</f>
        <v>80000.0</v>
      </c>
      <c r="M13" s="9">
        <f>M9-M10+M11+M12-M7</f>
        <v>60000.0</v>
      </c>
      <c r="N13" s="9">
        <f>N9-N10+N11+N12-N7</f>
        <v>48214.14526375608</v>
      </c>
      <c r="O13" s="9">
        <f>O9-O10+O11+O12-O7</f>
        <v>39922.768327176</v>
      </c>
      <c r="P13" s="9">
        <f>P9-P10+P11+P12-P7</f>
        <v>34952.077681738665</v>
      </c>
      <c r="Q13" s="9">
        <f>Q9-Q10+Q11+Q12-Q7</f>
        <v>33669.414568569235</v>
      </c>
      <c r="R13" s="9">
        <f>R9-R10+R11+R12-R7</f>
        <v>36488.06964455663</v>
      </c>
      <c r="S13" s="9">
        <f>S9-S10+S11+S12-S7</f>
        <v>43872.684804235454</v>
      </c>
      <c r="T13" s="9">
        <f>T9-T10+T11+T12-T7</f>
        <v>56345.30994677429</v>
      </c>
      <c r="U13" s="9">
        <f>U9-U10+U11+U12-U7</f>
        <v>74492.19287789446</v>
      </c>
      <c r="V13" s="9">
        <f>V9-V10+V11+V12-V7</f>
        <v>98971.38994353708</v>
      </c>
      <c r="W13" s="9">
        <f>W9-W10+W11+W12-W7</f>
        <v>130521.29552647764</v>
      </c>
      <c r="X13" s="9">
        <f>X9-X10+X11+X12-X7</f>
        <v>169970.20033422654</v>
      </c>
      <c r="Y13" s="9">
        <f>Y9-Y10+Y11+Y12-Y7</f>
        <v>218247.0016180695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40.7109375" customWidth="1"/>
    <col min="2" max="4" width="16.7109375" customWidth="1"/>
  </cols>
  <sheetData>
    <row r="1" spans="1:4">
      <c r="A1" s="1" t="s">
        <v>315</v>
      </c>
    </row>
    <row r="3" spans="1:4">
      <c r="B3" s="4" t="s">
        <v>76</v>
      </c>
      <c r="C3" s="4" t="s">
        <v>316</v>
      </c>
      <c r="D3" s="4" t="s">
        <v>317</v>
      </c>
    </row>
    <row r="4" spans="1:4">
      <c r="A4" t="s">
        <v>318</v>
      </c>
      <c r="B4" s="9">
        <v>39.6</v>
      </c>
      <c r="C4" s="9">
        <v>71.8</v>
      </c>
      <c r="D4" s="9">
        <v>16.8</v>
      </c>
    </row>
    <row r="5" spans="1:4">
      <c r="A5" t="s">
        <v>319</v>
      </c>
      <c r="B5" s="10">
        <v>0.04000000000000001</v>
      </c>
      <c r="C5" s="10">
        <v>0.06999999999999999</v>
      </c>
      <c r="D5" s="10">
        <v>0.02</v>
      </c>
    </row>
    <row r="6" spans="1:4">
      <c r="A6" t="s">
        <v>320</v>
      </c>
      <c r="B6" s="9">
        <v>1</v>
      </c>
      <c r="C6" s="9">
        <v>1</v>
      </c>
      <c r="D6" s="9">
        <v>7</v>
      </c>
    </row>
    <row r="7" spans="1:4">
      <c r="A7" t="s">
        <v>321</v>
      </c>
      <c r="B7" s="9">
        <v>1</v>
      </c>
      <c r="C7" s="9">
        <v>1</v>
      </c>
      <c r="D7" s="9">
        <v>4</v>
      </c>
    </row>
    <row r="8" spans="1:4">
      <c r="A8" t="s">
        <v>322</v>
      </c>
      <c r="B8" s="9">
        <v>11</v>
      </c>
      <c r="C8" s="9">
        <v>4</v>
      </c>
      <c r="D8" s="9">
        <v>0</v>
      </c>
    </row>
    <row r="9" spans="1:4">
      <c r="A9" t="s">
        <v>323</v>
      </c>
      <c r="B9" s="9">
        <v>0</v>
      </c>
      <c r="C9" s="9">
        <v>0</v>
      </c>
      <c r="D9" s="9">
        <v>14</v>
      </c>
    </row>
    <row r="10" spans="1:4">
      <c r="A10" t="s">
        <v>324</v>
      </c>
      <c r="B10" s="9">
        <f>PnL!L5</f>
        <v>1900.0309320737356</v>
      </c>
      <c r="C10" s="9">
        <v>3800.061864147471</v>
      </c>
      <c r="D10" s="9">
        <v>228.0037118488482</v>
      </c>
    </row>
    <row r="11" spans="1:4">
      <c r="A11" t="s">
        <v>325</v>
      </c>
      <c r="B11" s="9">
        <f>PnL!L6</f>
        <v>475.0077330184339</v>
      </c>
      <c r="C11" s="9">
        <v>950.0154660368678</v>
      </c>
      <c r="D11" s="9">
        <v>57.00092796221206</v>
      </c>
    </row>
    <row r="12" spans="1:4">
      <c r="A12" t="s">
        <v>326</v>
      </c>
      <c r="B12" s="9">
        <f>PnL!L7</f>
        <v>76.00123728294943</v>
      </c>
      <c r="C12" s="9">
        <v>266.004330490323</v>
      </c>
      <c r="D12" s="9">
        <v>4.560074236976965</v>
      </c>
    </row>
    <row r="13" spans="1:4">
      <c r="A13" t="s">
        <v>327</v>
      </c>
      <c r="B13" s="9">
        <f>PnL!L12</f>
        <v>78157.06860352625</v>
      </c>
      <c r="C13" s="9">
        <v>478871.712179696</v>
      </c>
      <c r="D13" s="9">
        <v>4337.852517662299</v>
      </c>
    </row>
    <row r="14" spans="1:4">
      <c r="A14" t="s">
        <v>328</v>
      </c>
      <c r="B14" s="9">
        <f>PnL!L9</f>
        <v>23737.9456406658</v>
      </c>
      <c r="C14" s="9">
        <v>68567.3227696313</v>
      </c>
      <c r="D14" s="9">
        <v>1957.498708865626</v>
      </c>
    </row>
    <row r="15" spans="1:4">
      <c r="A15" t="s">
        <v>329</v>
      </c>
      <c r="B15" s="9">
        <f>PnL!L23</f>
        <v>41554.96689785373</v>
      </c>
      <c r="C15" s="9">
        <v>210539.5804320446</v>
      </c>
      <c r="D15" s="9">
        <v>-3045.159694736095</v>
      </c>
    </row>
    <row r="16" spans="1:4">
      <c r="A16" t="s">
        <v>330</v>
      </c>
      <c r="B16" s="9">
        <f>CashFlow!L13</f>
        <v>60000.0</v>
      </c>
      <c r="C16" s="9">
        <v>612186.2429472407</v>
      </c>
      <c r="D16" s="9">
        <v>27248.6922662049</v>
      </c>
    </row>
    <row r="17" spans="1:4">
      <c r="A17" t="s">
        <v>331</v>
      </c>
      <c r="B17" s="9">
        <f>PnL!Y5</f>
        <v>8306.738215805288</v>
      </c>
      <c r="C17" s="9">
        <v>16613.47643161058</v>
      </c>
      <c r="D17" s="9">
        <v>996.8085858966344</v>
      </c>
    </row>
    <row r="18" spans="1:4">
      <c r="A18" t="s">
        <v>332</v>
      </c>
      <c r="B18" s="9">
        <f>PnL!Y7</f>
        <v>332.2695286322116</v>
      </c>
      <c r="C18" s="9">
        <v>1162.94335021274</v>
      </c>
      <c r="D18" s="9">
        <v>19.93617171793269</v>
      </c>
    </row>
    <row r="19" spans="1:4">
      <c r="A19" t="s">
        <v>333</v>
      </c>
      <c r="B19" s="9">
        <f>PnL!Y12</f>
        <v>414926.1126261132</v>
      </c>
      <c r="C19" s="9">
        <v>1464934.655493838</v>
      </c>
      <c r="D19" s="9">
        <v>18795.1606659569</v>
      </c>
    </row>
    <row r="20" spans="1:4">
      <c r="A20" t="s">
        <v>334</v>
      </c>
      <c r="B20" s="9">
        <f>PnL!Y23</f>
        <v>118276.80128384297</v>
      </c>
      <c r="C20" s="9">
        <v>458337.2555041548</v>
      </c>
      <c r="D20" s="9">
        <v>-17007.9634861109</v>
      </c>
    </row>
    <row r="21" spans="1:4">
      <c r="A21" t="s">
        <v>335</v>
      </c>
      <c r="B21" s="9">
        <f>CashFlow!Y13</f>
        <v>218247.0016180695</v>
      </c>
      <c r="C21" s="9">
        <v>3457872.298544236</v>
      </c>
      <c r="D21" s="9">
        <v>-350471.4443429364</v>
      </c>
    </row>
    <row r="22" spans="1:4">
      <c r="A22" t="s">
        <v>336</v>
      </c>
      <c r="B22" s="9">
        <f>PnL!B26</f>
        <v>3645060.7797871856</v>
      </c>
      <c r="C22" s="9">
        <v>13450984.39193208</v>
      </c>
      <c r="D22" s="9">
        <v>152133.9719211458</v>
      </c>
    </row>
    <row r="23" spans="1:4">
      <c r="A23" t="s">
        <v>337</v>
      </c>
      <c r="B23" s="9">
        <f>PnL!B27</f>
        <v>822609.2586769623</v>
      </c>
      <c r="C23" s="9">
        <v>2365060.183705376</v>
      </c>
      <c r="D23" s="9">
        <v>68240.84121439699</v>
      </c>
    </row>
    <row r="24" spans="1:4">
      <c r="A24" t="s">
        <v>338</v>
      </c>
      <c r="B24" s="9">
        <f>PnL!B28</f>
        <v>4225.756531901968</v>
      </c>
      <c r="C24" s="9">
        <v>8901.753923225695</v>
      </c>
      <c r="D24" s="9">
        <v>1029.560008525475</v>
      </c>
    </row>
    <row r="25" spans="1:4">
      <c r="A25" t="s">
        <v>339</v>
      </c>
      <c r="B25" s="9">
        <f>PnL!B29</f>
        <v>551200.0</v>
      </c>
      <c r="C25" s="9">
        <v>673200</v>
      </c>
      <c r="D25" s="9">
        <v>157200</v>
      </c>
    </row>
    <row r="26" spans="1:4">
      <c r="A26" t="s">
        <v>340</v>
      </c>
      <c r="B26" s="9">
        <f>PnL!B31</f>
        <v>1133766.6543964965</v>
      </c>
      <c r="C26" s="9">
        <v>4695944.661700076</v>
      </c>
      <c r="D26" s="9">
        <v>-196471.4443429364</v>
      </c>
    </row>
    <row r="28" spans="1:4">
      <c r="A28" s="2" t="s">
        <v>341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342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44.7109375" customWidth="1"/>
    <col min="2" max="2" width="14.7109375" customWidth="1"/>
  </cols>
  <sheetData>
    <row r="1" spans="1:3">
      <c r="A1" s="1" t="s">
        <v>343</v>
      </c>
    </row>
    <row r="3" spans="1:3">
      <c r="A3" t="s">
        <v>103</v>
      </c>
      <c r="B3" s="9">
        <f>Inputs!$B$114</f>
        <v>989.9999999999999</v>
      </c>
    </row>
    <row r="4" spans="1:3">
      <c r="A4" t="s">
        <v>344</v>
      </c>
      <c r="B4" s="9">
        <f>Inputs!$B$14</f>
        <v>2990.0</v>
      </c>
    </row>
    <row r="5" spans="1:3">
      <c r="A5" t="s">
        <v>345</v>
      </c>
      <c r="B5" s="9">
        <f>Inputs!$B$116</f>
        <v>0.2567968199999999</v>
      </c>
    </row>
    <row r="6" spans="1:3">
      <c r="A6" t="s">
        <v>105</v>
      </c>
      <c r="B6" s="9">
        <f>Inputs!$B$114-Inputs!$B$116</f>
        <v>989.7432031799999</v>
      </c>
    </row>
    <row r="7" spans="1:3">
      <c r="A7" t="s">
        <v>346</v>
      </c>
      <c r="B7" s="9">
        <f>Inputs!$B$107</f>
        <v>0.00335475</v>
      </c>
    </row>
    <row r="9" spans="1:3">
      <c r="A9" t="s">
        <v>235</v>
      </c>
      <c r="B9" s="9">
        <f>Inputs!$B$117</f>
        <v>3959.9999999999995</v>
      </c>
    </row>
    <row r="10" spans="1:3">
      <c r="A10" t="s">
        <v>347</v>
      </c>
      <c r="B10" s="9">
        <f>Inputs!$B$76</f>
        <v>400.0</v>
      </c>
      <c r="C10" s="9">
        <f>Inputs!$B$77</f>
        <v>1800.0</v>
      </c>
    </row>
    <row r="11" spans="1:3">
      <c r="A11" t="s">
        <v>236</v>
      </c>
      <c r="B11" s="9">
        <f>Inputs!$B$118</f>
        <v>9.899999999999999</v>
      </c>
    </row>
    <row r="12" spans="1:3">
      <c r="A12" t="s">
        <v>348</v>
      </c>
      <c r="B12" s="9">
        <f>Inputs!$B$119</f>
        <v>2.1999999999999997</v>
      </c>
    </row>
    <row r="13" spans="1:3">
      <c r="A13" t="s">
        <v>349</v>
      </c>
      <c r="B13" s="9">
        <f>IF(Inputs!$B$77*(1-Inputs!$B$78)=0,0,Inputs!$B$117/(Inputs!$B$77*(1-Inputs!$B$78)))</f>
        <v>2.933333333333333</v>
      </c>
    </row>
    <row r="15" spans="1:3">
      <c r="A15" t="s">
        <v>350</v>
      </c>
      <c r="B15" s="9">
        <f>Inputs!$B$76/(Inputs!$B$114*(1-Inputs!$B$6-Inputs!$B$7))</f>
        <v>0.4440004440004441</v>
      </c>
    </row>
    <row r="17" spans="1:4">
      <c r="A17" t="s">
        <v>351</v>
      </c>
      <c r="B17" s="9">
        <f>PnL!B28</f>
        <v>4225.756531901968</v>
      </c>
      <c r="C17" s="9">
        <f>PnL!B29</f>
        <v>551200.0</v>
      </c>
      <c r="D17" s="9">
        <f>PnL!B27</f>
        <v>822609.2586769623</v>
      </c>
    </row>
    <row r="19" spans="1:4">
      <c r="A19" s="2" t="s">
        <v>352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44.7109375" customWidth="1"/>
    <col min="2" max="4" width="16.7109375" customWidth="1"/>
  </cols>
  <sheetData>
    <row r="1" spans="1:5">
      <c r="A1" s="1" t="s">
        <v>353</v>
      </c>
    </row>
    <row r="2" spans="1:5">
      <c r="A2" s="13" t="s">
        <v>354</v>
      </c>
    </row>
    <row r="4" spans="1:5">
      <c r="A4" t="s">
        <v>355</v>
      </c>
      <c r="B4" t="s">
        <v>356</v>
      </c>
      <c r="C4" t="s">
        <v>380</v>
      </c>
      <c r="D4" t="s">
        <v>381</v>
      </c>
      <c r="E4" t="s">
        <v>374</v>
      </c>
    </row>
    <row r="5" spans="1:5">
      <c r="A5" t="s">
        <v>357</v>
      </c>
      <c r="B5" t="s">
        <v>358</v>
      </c>
      <c r="C5" t="s">
        <v>76</v>
      </c>
      <c r="D5">
        <v>11</v>
      </c>
      <c r="E5" t="s">
        <v>382</v>
      </c>
    </row>
    <row r="6" spans="1:5">
      <c r="A6" t="s">
        <v>359</v>
      </c>
      <c r="B6" t="s">
        <v>360</v>
      </c>
      <c r="C6" t="s">
        <v>77</v>
      </c>
      <c r="D6">
        <v>4</v>
      </c>
      <c r="E6" t="s">
        <v>382</v>
      </c>
    </row>
    <row r="7" spans="1:5">
      <c r="A7" t="s">
        <v>361</v>
      </c>
      <c r="B7" t="s">
        <v>80</v>
      </c>
      <c r="C7" t="s">
        <v>78</v>
      </c>
      <c r="D7" t="s">
        <v>383</v>
      </c>
      <c r="E7">
        <v>14</v>
      </c>
    </row>
    <row r="8" spans="1:5">
      <c r="A8" t="s">
        <v>362</v>
      </c>
      <c r="B8">
        <v>100</v>
      </c>
    </row>
    <row r="9" spans="1:5">
      <c r="A9" t="s">
        <v>68</v>
      </c>
      <c r="B9">
        <v>1</v>
      </c>
    </row>
    <row r="10" spans="1:5">
      <c r="A10" t="s">
        <v>363</v>
      </c>
      <c r="B10" t="s">
        <v>66</v>
      </c>
    </row>
    <row r="11" spans="1:5">
      <c r="A11" t="s">
        <v>364</v>
      </c>
      <c r="B11" t="s">
        <v>365</v>
      </c>
    </row>
    <row r="12" spans="1:5">
      <c r="A12" t="s">
        <v>366</v>
      </c>
      <c r="B12" t="s">
        <v>367</v>
      </c>
    </row>
    <row r="13" spans="1:5">
      <c r="A13" t="s">
        <v>368</v>
      </c>
      <c r="B13" t="s">
        <v>369</v>
      </c>
    </row>
    <row r="14" spans="1:5">
      <c r="A14" t="s">
        <v>370</v>
      </c>
      <c r="B14" s="5">
        <v>822609</v>
      </c>
    </row>
    <row r="15" spans="1:5">
      <c r="A15" t="s">
        <v>371</v>
      </c>
      <c r="B15" s="5">
        <v>20000</v>
      </c>
    </row>
    <row r="16" spans="1:5">
      <c r="A16" t="s">
        <v>372</v>
      </c>
      <c r="B16">
        <v>15</v>
      </c>
    </row>
    <row r="17" spans="1:2">
      <c r="A17" t="s">
        <v>373</v>
      </c>
      <c r="B17">
        <v>11</v>
      </c>
    </row>
    <row r="18" spans="1:2">
      <c r="A18" t="s">
        <v>374</v>
      </c>
      <c r="B18" t="s">
        <v>243</v>
      </c>
    </row>
    <row r="19" spans="1:2">
      <c r="A19" t="s">
        <v>375</v>
      </c>
      <c r="B19" s="5">
        <v>29829</v>
      </c>
    </row>
    <row r="20" spans="1:2">
      <c r="A20" t="s">
        <v>376</v>
      </c>
      <c r="B20" s="5">
        <v>2162</v>
      </c>
    </row>
    <row r="21" spans="1:2">
      <c r="A21" t="s">
        <v>377</v>
      </c>
      <c r="B21" s="5">
        <v>28.5</v>
      </c>
    </row>
    <row r="22" spans="1:2">
      <c r="A22" t="s">
        <v>327</v>
      </c>
      <c r="B22" s="5">
        <v>78157</v>
      </c>
    </row>
    <row r="23" spans="1:2">
      <c r="A23" t="s">
        <v>329</v>
      </c>
      <c r="B23" s="5">
        <v>41555</v>
      </c>
    </row>
    <row r="24" spans="1:2">
      <c r="A24" t="s">
        <v>325</v>
      </c>
      <c r="B24" s="5">
        <v>475</v>
      </c>
    </row>
    <row r="25" spans="1:2">
      <c r="A25" t="s">
        <v>378</v>
      </c>
      <c r="B25" s="5">
        <v>60000</v>
      </c>
    </row>
    <row r="26" spans="1:2">
      <c r="A26" t="s">
        <v>333</v>
      </c>
      <c r="B26" s="5">
        <v>414926</v>
      </c>
    </row>
    <row r="27" spans="1:2">
      <c r="A27" t="s">
        <v>334</v>
      </c>
      <c r="B27" s="5">
        <v>118277</v>
      </c>
    </row>
    <row r="28" spans="1:2">
      <c r="A28" t="s">
        <v>379</v>
      </c>
      <c r="B28" s="5">
        <v>218247</v>
      </c>
    </row>
    <row r="33" spans="1:1">
      <c r="A33" s="2" t="s">
        <v>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70.7109375" customWidth="1"/>
  </cols>
  <sheetData>
    <row r="1" spans="1:1">
      <c r="A1" s="1" t="s">
        <v>385</v>
      </c>
    </row>
    <row r="3" spans="1:1">
      <c r="A3" t="s">
        <v>386</v>
      </c>
    </row>
    <row r="4" spans="1:1">
      <c r="A4" t="s">
        <v>387</v>
      </c>
    </row>
    <row r="5" spans="1:1">
      <c r="A5" t="s">
        <v>388</v>
      </c>
    </row>
    <row r="6" spans="1:1">
      <c r="A6" t="s">
        <v>389</v>
      </c>
    </row>
    <row r="8" spans="1:1">
      <c r="A8" t="s">
        <v>390</v>
      </c>
    </row>
    <row r="9" spans="1:1">
      <c r="A9" s="2" t="s">
        <v>391</v>
      </c>
    </row>
    <row r="10" spans="1:1">
      <c r="A10" s="2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Plan</vt:lpstr>
      <vt:lpstr>Product</vt:lpstr>
      <vt:lpstr>Inputs</vt:lpstr>
      <vt:lpstr>Bootstrap</vt:lpstr>
      <vt:lpstr>PnL</vt:lpstr>
      <vt:lpstr>CashFlow</vt:lpstr>
      <vt:lpstr>Scenarios</vt:lpstr>
      <vt:lpstr>Charts</vt:lpstr>
      <vt:lpstr>Unit</vt:lpstr>
      <vt:lpstr>Dashboard</vt:lpstr>
      <vt:lpstr>InfraRoadmap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2026-09-05T14:55:31Z</dcterms:created>
  <dcterms:modified xsi:type="dcterms:W3CDTF">2026-09-05T14:55:31Z</dcterms:modified>
</cp:coreProperties>
</file>